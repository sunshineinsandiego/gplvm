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ocuments/ptt/data/"/>
    </mc:Choice>
  </mc:AlternateContent>
  <xr:revisionPtr revIDLastSave="0" documentId="13_ncr:1_{8836FF5C-077F-7646-AFF0-E2624E78EFD5}" xr6:coauthVersionLast="47" xr6:coauthVersionMax="47" xr10:uidLastSave="{00000000-0000-0000-0000-000000000000}"/>
  <bookViews>
    <workbookView xWindow="0" yWindow="500" windowWidth="28800" windowHeight="17500" activeTab="2" xr2:uid="{E071FF09-5408-2B4D-BD68-9FD7A01E038E}"/>
  </bookViews>
  <sheets>
    <sheet name="R data sheet" sheetId="2" r:id="rId1"/>
    <sheet name="selected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8" i="3" l="1"/>
  <c r="BJ48" i="3"/>
  <c r="BI48" i="3"/>
  <c r="BM3" i="3"/>
  <c r="BN3" i="3"/>
  <c r="BO3" i="3"/>
  <c r="BP3" i="3"/>
  <c r="BQ3" i="3"/>
  <c r="BR3" i="3"/>
  <c r="BS3" i="3"/>
  <c r="BT3" i="3"/>
  <c r="BM4" i="3"/>
  <c r="BN4" i="3"/>
  <c r="BO4" i="3"/>
  <c r="BP4" i="3"/>
  <c r="BQ4" i="3"/>
  <c r="BR4" i="3"/>
  <c r="BS4" i="3"/>
  <c r="BT4" i="3"/>
  <c r="BM5" i="3"/>
  <c r="BN5" i="3"/>
  <c r="BO5" i="3"/>
  <c r="BP5" i="3"/>
  <c r="BQ5" i="3"/>
  <c r="BR5" i="3"/>
  <c r="BS5" i="3"/>
  <c r="BT5" i="3"/>
  <c r="BM6" i="3"/>
  <c r="BN6" i="3"/>
  <c r="BO6" i="3"/>
  <c r="BP6" i="3"/>
  <c r="BQ6" i="3"/>
  <c r="BR6" i="3"/>
  <c r="BS6" i="3"/>
  <c r="BT6" i="3"/>
  <c r="BM7" i="3"/>
  <c r="BN7" i="3"/>
  <c r="BO7" i="3"/>
  <c r="BP7" i="3"/>
  <c r="BQ7" i="3"/>
  <c r="BR7" i="3"/>
  <c r="BS7" i="3"/>
  <c r="BT7" i="3"/>
  <c r="BM8" i="3"/>
  <c r="BN8" i="3"/>
  <c r="BO8" i="3"/>
  <c r="BP8" i="3"/>
  <c r="BQ8" i="3"/>
  <c r="BR8" i="3"/>
  <c r="BS8" i="3"/>
  <c r="BT8" i="3"/>
  <c r="BM9" i="3"/>
  <c r="BN9" i="3"/>
  <c r="BO9" i="3"/>
  <c r="BP9" i="3"/>
  <c r="BQ9" i="3"/>
  <c r="BR9" i="3"/>
  <c r="BS9" i="3"/>
  <c r="BT9" i="3"/>
  <c r="BM10" i="3"/>
  <c r="BN10" i="3"/>
  <c r="BO10" i="3"/>
  <c r="BP10" i="3"/>
  <c r="BQ10" i="3"/>
  <c r="BR10" i="3"/>
  <c r="BS10" i="3"/>
  <c r="BT10" i="3"/>
  <c r="BM11" i="3"/>
  <c r="BN11" i="3"/>
  <c r="BO11" i="3"/>
  <c r="BP11" i="3"/>
  <c r="BQ11" i="3"/>
  <c r="BR11" i="3"/>
  <c r="BS11" i="3"/>
  <c r="BT11" i="3"/>
  <c r="BM12" i="3"/>
  <c r="BN12" i="3"/>
  <c r="BO12" i="3"/>
  <c r="BP12" i="3"/>
  <c r="BQ12" i="3"/>
  <c r="BR12" i="3"/>
  <c r="BS12" i="3"/>
  <c r="BT12" i="3"/>
  <c r="BM13" i="3"/>
  <c r="BN13" i="3"/>
  <c r="BO13" i="3"/>
  <c r="BP13" i="3"/>
  <c r="BQ13" i="3"/>
  <c r="BR13" i="3"/>
  <c r="BS13" i="3"/>
  <c r="BT13" i="3"/>
  <c r="BM14" i="3"/>
  <c r="BN14" i="3"/>
  <c r="BO14" i="3"/>
  <c r="BP14" i="3"/>
  <c r="BQ14" i="3"/>
  <c r="BR14" i="3"/>
  <c r="BS14" i="3"/>
  <c r="BT14" i="3"/>
  <c r="BM15" i="3"/>
  <c r="BN15" i="3"/>
  <c r="BO15" i="3"/>
  <c r="BP15" i="3"/>
  <c r="BQ15" i="3"/>
  <c r="BR15" i="3"/>
  <c r="BS15" i="3"/>
  <c r="BT15" i="3"/>
  <c r="BM16" i="3"/>
  <c r="BN16" i="3"/>
  <c r="BO16" i="3"/>
  <c r="BP16" i="3"/>
  <c r="BQ16" i="3"/>
  <c r="BR16" i="3"/>
  <c r="BS16" i="3"/>
  <c r="BT16" i="3"/>
  <c r="BM17" i="3"/>
  <c r="BN17" i="3"/>
  <c r="BO17" i="3"/>
  <c r="BP17" i="3"/>
  <c r="BQ17" i="3"/>
  <c r="BR17" i="3"/>
  <c r="BS17" i="3"/>
  <c r="BT17" i="3"/>
  <c r="BM18" i="3"/>
  <c r="BN18" i="3"/>
  <c r="BO18" i="3"/>
  <c r="BP18" i="3"/>
  <c r="BQ18" i="3"/>
  <c r="BR18" i="3"/>
  <c r="BS18" i="3"/>
  <c r="BT18" i="3"/>
  <c r="BM19" i="3"/>
  <c r="BN19" i="3"/>
  <c r="BO19" i="3"/>
  <c r="BP19" i="3"/>
  <c r="BQ19" i="3"/>
  <c r="BR19" i="3"/>
  <c r="BS19" i="3"/>
  <c r="BT19" i="3"/>
  <c r="BM20" i="3"/>
  <c r="BN20" i="3"/>
  <c r="BO20" i="3"/>
  <c r="BP20" i="3"/>
  <c r="BQ20" i="3"/>
  <c r="BR20" i="3"/>
  <c r="BS20" i="3"/>
  <c r="BT20" i="3"/>
  <c r="BM21" i="3"/>
  <c r="BN21" i="3"/>
  <c r="BO21" i="3"/>
  <c r="BP21" i="3"/>
  <c r="BQ21" i="3"/>
  <c r="BR21" i="3"/>
  <c r="BS21" i="3"/>
  <c r="BT21" i="3"/>
  <c r="BM22" i="3"/>
  <c r="BN22" i="3"/>
  <c r="BO22" i="3"/>
  <c r="BP22" i="3"/>
  <c r="BQ22" i="3"/>
  <c r="BR22" i="3"/>
  <c r="BS22" i="3"/>
  <c r="BT22" i="3"/>
  <c r="BM23" i="3"/>
  <c r="BN23" i="3"/>
  <c r="BO23" i="3"/>
  <c r="BP23" i="3"/>
  <c r="BQ23" i="3"/>
  <c r="BR23" i="3"/>
  <c r="BS23" i="3"/>
  <c r="BT23" i="3"/>
  <c r="BM24" i="3"/>
  <c r="BN24" i="3"/>
  <c r="BO24" i="3"/>
  <c r="BP24" i="3"/>
  <c r="BQ24" i="3"/>
  <c r="BR24" i="3"/>
  <c r="BS24" i="3"/>
  <c r="BT24" i="3"/>
  <c r="BM25" i="3"/>
  <c r="BN25" i="3"/>
  <c r="BO25" i="3"/>
  <c r="BP25" i="3"/>
  <c r="BQ25" i="3"/>
  <c r="BR25" i="3"/>
  <c r="BS25" i="3"/>
  <c r="BT25" i="3"/>
  <c r="BM26" i="3"/>
  <c r="BN26" i="3"/>
  <c r="BO26" i="3"/>
  <c r="BP26" i="3"/>
  <c r="BQ26" i="3"/>
  <c r="BR26" i="3"/>
  <c r="BS26" i="3"/>
  <c r="BT26" i="3"/>
  <c r="BM27" i="3"/>
  <c r="BN27" i="3"/>
  <c r="BO27" i="3"/>
  <c r="BP27" i="3"/>
  <c r="BQ27" i="3"/>
  <c r="BR27" i="3"/>
  <c r="BS27" i="3"/>
  <c r="BT27" i="3"/>
  <c r="BM28" i="3"/>
  <c r="BN28" i="3"/>
  <c r="BO28" i="3"/>
  <c r="BP28" i="3"/>
  <c r="BQ28" i="3"/>
  <c r="BR28" i="3"/>
  <c r="BS28" i="3"/>
  <c r="BT28" i="3"/>
  <c r="BM29" i="3"/>
  <c r="BN29" i="3"/>
  <c r="BO29" i="3"/>
  <c r="BP29" i="3"/>
  <c r="BQ29" i="3"/>
  <c r="BR29" i="3"/>
  <c r="BS29" i="3"/>
  <c r="BT29" i="3"/>
  <c r="BM32" i="3"/>
  <c r="BN32" i="3"/>
  <c r="BO32" i="3"/>
  <c r="BP32" i="3"/>
  <c r="BQ32" i="3"/>
  <c r="BR32" i="3"/>
  <c r="BS32" i="3"/>
  <c r="BT32" i="3"/>
  <c r="BM33" i="3"/>
  <c r="BN33" i="3"/>
  <c r="BO33" i="3"/>
  <c r="BP33" i="3"/>
  <c r="BQ33" i="3"/>
  <c r="BR33" i="3"/>
  <c r="BS33" i="3"/>
  <c r="BT33" i="3"/>
  <c r="BM34" i="3"/>
  <c r="BN34" i="3"/>
  <c r="BO34" i="3"/>
  <c r="BP34" i="3"/>
  <c r="BQ34" i="3"/>
  <c r="BR34" i="3"/>
  <c r="BS34" i="3"/>
  <c r="BT34" i="3"/>
  <c r="BM35" i="3"/>
  <c r="BN35" i="3"/>
  <c r="BO35" i="3"/>
  <c r="BP35" i="3"/>
  <c r="BQ35" i="3"/>
  <c r="BR35" i="3"/>
  <c r="BS35" i="3"/>
  <c r="BT35" i="3"/>
  <c r="BM36" i="3"/>
  <c r="BN36" i="3"/>
  <c r="BO36" i="3"/>
  <c r="BP36" i="3"/>
  <c r="BQ36" i="3"/>
  <c r="BR36" i="3"/>
  <c r="BS36" i="3"/>
  <c r="BT36" i="3"/>
  <c r="BM37" i="3"/>
  <c r="BN37" i="3"/>
  <c r="BO37" i="3"/>
  <c r="BP37" i="3"/>
  <c r="BQ37" i="3"/>
  <c r="BR37" i="3"/>
  <c r="BS37" i="3"/>
  <c r="BT37" i="3"/>
  <c r="BM38" i="3"/>
  <c r="BN38" i="3"/>
  <c r="BO38" i="3"/>
  <c r="BP38" i="3"/>
  <c r="BQ38" i="3"/>
  <c r="BR38" i="3"/>
  <c r="BS38" i="3"/>
  <c r="BT38" i="3"/>
  <c r="BM39" i="3"/>
  <c r="BN39" i="3"/>
  <c r="BO39" i="3"/>
  <c r="BP39" i="3"/>
  <c r="BQ39" i="3"/>
  <c r="BR39" i="3"/>
  <c r="BS39" i="3"/>
  <c r="BT39" i="3"/>
  <c r="BM40" i="3"/>
  <c r="BN40" i="3"/>
  <c r="BO40" i="3"/>
  <c r="BP40" i="3"/>
  <c r="BQ40" i="3"/>
  <c r="BR40" i="3"/>
  <c r="BS40" i="3"/>
  <c r="BT40" i="3"/>
  <c r="BM41" i="3"/>
  <c r="BN41" i="3"/>
  <c r="BO41" i="3"/>
  <c r="BP41" i="3"/>
  <c r="BQ41" i="3"/>
  <c r="BR41" i="3"/>
  <c r="BS41" i="3"/>
  <c r="BT41" i="3"/>
  <c r="BM42" i="3"/>
  <c r="BN42" i="3"/>
  <c r="BO42" i="3"/>
  <c r="BP42" i="3"/>
  <c r="BQ42" i="3"/>
  <c r="BR42" i="3"/>
  <c r="BS42" i="3"/>
  <c r="BT42" i="3"/>
  <c r="BM43" i="3"/>
  <c r="BN43" i="3"/>
  <c r="BO43" i="3"/>
  <c r="BP43" i="3"/>
  <c r="BQ43" i="3"/>
  <c r="BR43" i="3"/>
  <c r="BS43" i="3"/>
  <c r="BT43" i="3"/>
  <c r="BM48" i="3"/>
  <c r="BN48" i="3"/>
  <c r="BO48" i="3"/>
  <c r="BP48" i="3"/>
  <c r="BQ48" i="3"/>
  <c r="BR48" i="3"/>
  <c r="BS48" i="3"/>
  <c r="BT48" i="3"/>
  <c r="BM49" i="3"/>
  <c r="BN49" i="3"/>
  <c r="BO49" i="3"/>
  <c r="BP49" i="3"/>
  <c r="BQ49" i="3"/>
  <c r="BR49" i="3"/>
  <c r="BS49" i="3"/>
  <c r="BT49" i="3"/>
  <c r="BM50" i="3"/>
  <c r="BN50" i="3"/>
  <c r="BO50" i="3"/>
  <c r="BP50" i="3"/>
  <c r="BM51" i="3"/>
  <c r="BN51" i="3"/>
  <c r="BO51" i="3"/>
  <c r="BP51" i="3"/>
  <c r="BM52" i="3"/>
  <c r="BN52" i="3"/>
  <c r="BO52" i="3"/>
  <c r="BP52" i="3"/>
  <c r="BQ52" i="3"/>
  <c r="BR52" i="3"/>
  <c r="BS52" i="3"/>
  <c r="BT52" i="3"/>
  <c r="BM53" i="3"/>
  <c r="BN53" i="3"/>
  <c r="BO53" i="3"/>
  <c r="BP53" i="3"/>
  <c r="BQ53" i="3"/>
  <c r="BR53" i="3"/>
  <c r="BS53" i="3"/>
  <c r="BT53" i="3"/>
  <c r="BM54" i="3"/>
  <c r="BN54" i="3"/>
  <c r="BO54" i="3"/>
  <c r="BP54" i="3"/>
  <c r="BQ54" i="3"/>
  <c r="BR54" i="3"/>
  <c r="BS54" i="3"/>
  <c r="BT54" i="3"/>
  <c r="BM55" i="3"/>
  <c r="BN55" i="3"/>
  <c r="BO55" i="3"/>
  <c r="BP55" i="3"/>
  <c r="BQ55" i="3"/>
  <c r="BR55" i="3"/>
  <c r="BS55" i="3"/>
  <c r="BT55" i="3"/>
  <c r="BM56" i="3"/>
  <c r="BN56" i="3"/>
  <c r="BO56" i="3"/>
  <c r="BP56" i="3"/>
  <c r="BQ56" i="3"/>
  <c r="BR56" i="3"/>
  <c r="BS56" i="3"/>
  <c r="BT56" i="3"/>
  <c r="BM57" i="3"/>
  <c r="BN57" i="3"/>
  <c r="BO57" i="3"/>
  <c r="BP57" i="3"/>
  <c r="BQ57" i="3"/>
  <c r="BR57" i="3"/>
  <c r="BS57" i="3"/>
  <c r="BT57" i="3"/>
  <c r="BM58" i="3"/>
  <c r="BN58" i="3"/>
  <c r="BO58" i="3"/>
  <c r="BP58" i="3"/>
  <c r="BQ58" i="3"/>
  <c r="BR58" i="3"/>
  <c r="BS58" i="3"/>
  <c r="BT58" i="3"/>
  <c r="BM59" i="3"/>
  <c r="BN59" i="3"/>
  <c r="BO59" i="3"/>
  <c r="BP59" i="3"/>
  <c r="BQ59" i="3"/>
  <c r="BR59" i="3"/>
  <c r="BS59" i="3"/>
  <c r="BT59" i="3"/>
  <c r="BM60" i="3"/>
  <c r="BN60" i="3"/>
  <c r="BO60" i="3"/>
  <c r="BP60" i="3"/>
  <c r="BQ60" i="3"/>
  <c r="BR60" i="3"/>
  <c r="BS60" i="3"/>
  <c r="BT60" i="3"/>
  <c r="BM61" i="3"/>
  <c r="BN61" i="3"/>
  <c r="BO61" i="3"/>
  <c r="BP61" i="3"/>
  <c r="BQ61" i="3"/>
  <c r="BR61" i="3"/>
  <c r="BS61" i="3"/>
  <c r="BT61" i="3"/>
  <c r="BM62" i="3"/>
  <c r="BN62" i="3"/>
  <c r="BO62" i="3"/>
  <c r="BP62" i="3"/>
  <c r="BQ62" i="3"/>
  <c r="BR62" i="3"/>
  <c r="BS62" i="3"/>
  <c r="BT62" i="3"/>
  <c r="BM63" i="3"/>
  <c r="BN63" i="3"/>
  <c r="BO63" i="3"/>
  <c r="BP63" i="3"/>
  <c r="BQ63" i="3"/>
  <c r="BR63" i="3"/>
  <c r="BS63" i="3"/>
  <c r="BT63" i="3"/>
  <c r="BM64" i="3"/>
  <c r="BN64" i="3"/>
  <c r="BO64" i="3"/>
  <c r="BP64" i="3"/>
  <c r="BQ64" i="3"/>
  <c r="BR64" i="3"/>
  <c r="BS64" i="3"/>
  <c r="BT64" i="3"/>
  <c r="BM65" i="3"/>
  <c r="BN65" i="3"/>
  <c r="BO65" i="3"/>
  <c r="BP65" i="3"/>
  <c r="BQ65" i="3"/>
  <c r="BR65" i="3"/>
  <c r="BS65" i="3"/>
  <c r="BT65" i="3"/>
  <c r="BM66" i="3"/>
  <c r="BN66" i="3"/>
  <c r="BO66" i="3"/>
  <c r="BP66" i="3"/>
  <c r="BM67" i="3"/>
  <c r="BN67" i="3"/>
  <c r="BO67" i="3"/>
  <c r="BP67" i="3"/>
  <c r="BS2" i="3"/>
  <c r="BR2" i="3"/>
  <c r="BQ2" i="3"/>
  <c r="BT2" i="3"/>
  <c r="BP2" i="3"/>
  <c r="BO2" i="3"/>
  <c r="BN2" i="3"/>
  <c r="BM2" i="3"/>
  <c r="BK3" i="3"/>
  <c r="BL3" i="3"/>
  <c r="BK4" i="3"/>
  <c r="BL4" i="3"/>
  <c r="BK5" i="3"/>
  <c r="BL5" i="3"/>
  <c r="BK6" i="3"/>
  <c r="BL6" i="3"/>
  <c r="BK7" i="3"/>
  <c r="BL7" i="3"/>
  <c r="BK8" i="3"/>
  <c r="BL8" i="3"/>
  <c r="BK9" i="3"/>
  <c r="BL9" i="3"/>
  <c r="BK10" i="3"/>
  <c r="BL10" i="3"/>
  <c r="BK11" i="3"/>
  <c r="BL11" i="3"/>
  <c r="BK12" i="3"/>
  <c r="BL12" i="3"/>
  <c r="BK13" i="3"/>
  <c r="BL13" i="3"/>
  <c r="BK14" i="3"/>
  <c r="BL14" i="3"/>
  <c r="BK15" i="3"/>
  <c r="BL15" i="3"/>
  <c r="BK16" i="3"/>
  <c r="BL16" i="3"/>
  <c r="BK17" i="3"/>
  <c r="BL17" i="3"/>
  <c r="BK18" i="3"/>
  <c r="BL18" i="3"/>
  <c r="BK19" i="3"/>
  <c r="BL19" i="3"/>
  <c r="BK20" i="3"/>
  <c r="BL20" i="3"/>
  <c r="BK21" i="3"/>
  <c r="BL21" i="3"/>
  <c r="BK22" i="3"/>
  <c r="BL22" i="3"/>
  <c r="BK23" i="3"/>
  <c r="BL23" i="3"/>
  <c r="BK24" i="3"/>
  <c r="BL24" i="3"/>
  <c r="BK25" i="3"/>
  <c r="BL25" i="3"/>
  <c r="BK26" i="3"/>
  <c r="BL26" i="3"/>
  <c r="BK27" i="3"/>
  <c r="BL27" i="3"/>
  <c r="BK28" i="3"/>
  <c r="BL28" i="3"/>
  <c r="BK29" i="3"/>
  <c r="BL29" i="3"/>
  <c r="BK30" i="3"/>
  <c r="BL30" i="3"/>
  <c r="BK31" i="3"/>
  <c r="BL31" i="3"/>
  <c r="BK32" i="3"/>
  <c r="BL32" i="3"/>
  <c r="BK33" i="3"/>
  <c r="BL33" i="3"/>
  <c r="BK34" i="3"/>
  <c r="BL34" i="3"/>
  <c r="BK35" i="3"/>
  <c r="BL35" i="3"/>
  <c r="BK36" i="3"/>
  <c r="BL36" i="3"/>
  <c r="BK37" i="3"/>
  <c r="BL37" i="3"/>
  <c r="BK38" i="3"/>
  <c r="BL38" i="3"/>
  <c r="BK39" i="3"/>
  <c r="BL39" i="3"/>
  <c r="BK40" i="3"/>
  <c r="BL40" i="3"/>
  <c r="BK41" i="3"/>
  <c r="BL41" i="3"/>
  <c r="BK42" i="3"/>
  <c r="BL42" i="3"/>
  <c r="BK43" i="3"/>
  <c r="BL43" i="3"/>
  <c r="BL48" i="3"/>
  <c r="BK49" i="3"/>
  <c r="BL49" i="3"/>
  <c r="BK52" i="3"/>
  <c r="BL52" i="3"/>
  <c r="BK53" i="3"/>
  <c r="BL53" i="3"/>
  <c r="BK54" i="3"/>
  <c r="BL54" i="3"/>
  <c r="BK55" i="3"/>
  <c r="BL55" i="3"/>
  <c r="BK56" i="3"/>
  <c r="BL56" i="3"/>
  <c r="BK57" i="3"/>
  <c r="BL57" i="3"/>
  <c r="BK58" i="3"/>
  <c r="BL58" i="3"/>
  <c r="BK59" i="3"/>
  <c r="BL59" i="3"/>
  <c r="BK60" i="3"/>
  <c r="BL60" i="3"/>
  <c r="BK61" i="3"/>
  <c r="BL61" i="3"/>
  <c r="BK62" i="3"/>
  <c r="BL62" i="3"/>
  <c r="BK63" i="3"/>
  <c r="BL63" i="3"/>
  <c r="BK64" i="3"/>
  <c r="BL64" i="3"/>
  <c r="BK65" i="3"/>
  <c r="BL65" i="3"/>
  <c r="BL2" i="3"/>
  <c r="BK2" i="3"/>
  <c r="BI43" i="3"/>
  <c r="BJ3" i="3"/>
  <c r="BJ4" i="3"/>
  <c r="BJ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40" i="3"/>
  <c r="BJ41" i="3"/>
  <c r="BJ42" i="3"/>
  <c r="BJ43" i="3"/>
  <c r="BJ49" i="3"/>
  <c r="BJ52" i="3"/>
  <c r="BJ53" i="3"/>
  <c r="BJ54" i="3"/>
  <c r="BJ55" i="3"/>
  <c r="BJ56" i="3"/>
  <c r="BJ57" i="3"/>
  <c r="BJ58" i="3"/>
  <c r="BJ59" i="3"/>
  <c r="BJ60" i="3"/>
  <c r="BJ61" i="3"/>
  <c r="BJ62" i="3"/>
  <c r="BJ63" i="3"/>
  <c r="BJ64" i="3"/>
  <c r="BJ65" i="3"/>
  <c r="BJ2" i="3"/>
  <c r="BI3" i="3"/>
  <c r="BI4" i="3"/>
  <c r="BI5" i="3"/>
  <c r="BI6" i="3"/>
  <c r="BI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9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2" i="3"/>
  <c r="AB50" i="2"/>
  <c r="AB51" i="2"/>
  <c r="AB66" i="2"/>
  <c r="AB6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BA2" i="2"/>
  <c r="AZ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tc={3D607AF0-4459-DC4E-B553-A7B431AA67B0}</author>
    <author>tc={C9E579A1-8255-7044-9A82-1FB6278844E3}</author>
    <author>tc={94195C5F-0BE3-2842-986A-D14E4B57D3DD}</author>
    <author>tc={CBA7F990-A1AD-6749-ACEB-E18E2B9D11CA}</author>
    <author>tc={629F5469-AB02-6747-9984-FFC34709BC1D}</author>
    <author>tc={5E22D343-9849-7F41-A528-3396B8A43A8B}</author>
    <author>tc={3C319064-90FD-B846-B594-C1A265DD9182}</author>
    <author>tc={E916414B-C761-B744-88A7-8608F474DC79}</author>
    <author>tc={B932F904-2054-D749-A5CC-56C2D9582CA7}</author>
    <author>tc={BF062A53-7579-2248-8237-EBF78594EE54}</author>
    <author>tc={773E5853-862B-9C47-B216-CB8FE7F6E030}</author>
    <author>tc={59C57F87-1A76-EA4E-A286-2B7BBCD8CE21}</author>
    <author>tc={26ADEA98-15B3-7649-8397-398E7C6806E3}</author>
    <author>tc={879D0853-BCA0-8646-93E9-86BD10DF783F}</author>
    <author>tc={358F3940-4B23-184F-900E-FE05E691BD14}</author>
    <author>tc={04D0BF5D-C7B2-F843-8608-188BCAB2A4F9}</author>
    <author>tc={CE73E046-D14C-7C4F-A3AF-E03176210EBB}</author>
    <author>tc={5FAA9F01-CAEE-3241-817A-E8CFD25E1630}</author>
    <author>tc={1558BD3A-EC83-C64F-AA40-36D65D9CA37E}</author>
    <author>tc={88B01C06-8AEE-894F-851C-8C866FCB8A94}</author>
    <author>tc={9E61236A-50AC-B842-BBFE-AE5861F43D52}</author>
    <author>tc={79839262-5DF4-5C47-8632-8ADEFC81A58B}</author>
    <author>tc={E6CED131-7D78-9A46-B277-308C423D98FD}</author>
    <author>tc={2B648C18-CD45-4F4C-BEFB-1896A006DD30}</author>
    <author>tc={1DEEF447-B38D-6E4B-9356-742E08F5C918}</author>
    <author>tc={6F603BB5-FE8F-6848-9C8E-A20C6C27E8A5}</author>
    <author>tc={7A2C8A8E-47A6-D24B-BBD8-E89AE66804B0}</author>
    <author>tc={ED0F300A-8D43-0C4E-8014-9A44505E3380}</author>
    <author>tc={828D1FA2-ED58-BC43-B31D-5F447F32D6A4}</author>
    <author>tc={47DDEA16-C6F3-924C-A7D4-A06E80DD3D87}</author>
    <author>tc={8268A51F-FEDD-0D4B-B223-2DC2873FFBA7}</author>
    <author>tc={ADC59059-DDB6-7A4B-9452-C4DC1FC8DE72}</author>
    <author>tc={4C034749-E25C-2342-9F88-216A3D1D0BF2}</author>
    <author>tc={FB89145B-5619-7A4B-B596-7C6023A6FC14}</author>
    <author>tc={4CAEF3E8-FCA0-BF45-B6DB-880BE1F7E853}</author>
    <author>tc={6137F760-11DF-3347-9E88-C892C8CEC592}</author>
    <author>tc={D8211E40-B755-4947-968A-9B1F71ADEF0E}</author>
    <author>tc={F8242201-5CEE-EE44-B5F6-A30B1252721A}</author>
    <author>tc={CE07D8D4-0B6C-3F45-8D0B-F033430CAD5D}</author>
    <author>tc={D89CA04F-9889-7C48-A306-C305DE259163}</author>
    <author>tc={28F30090-D5A0-5A40-BD29-36F673C6192A}</author>
    <author>tc={71326748-3D5F-D940-9D22-499A0C372F0B}</author>
    <author>tc={9A4A6B2C-3EFB-0143-8CE0-9E8783B2B617}</author>
    <author>tc={0192A892-2339-394A-8F12-078BD6215686}</author>
    <author>tc={90AA8EB9-35E2-3D40-828B-4F3BB7B8DB85}</author>
    <author>tc={8995ABE5-2242-B847-8E8C-9556E2FB8694}</author>
    <author>tc={5FFBAD24-75A9-3F42-A100-18F667C4EE91}</author>
    <author>tc={754371B8-7DC9-0B40-B754-E2BA40B2BE6B}</author>
    <author>tc={6FE4836A-3943-1E48-8BC5-21C8BF1E2ABF}</author>
    <author>tc={5BF6201F-2CFE-DF4E-BE1B-48383C0A326B}</author>
    <author>tc={D67D56D7-49D3-FE49-801F-B155CEC80966}</author>
    <author>tc={206EF4A6-A1D0-104D-97F8-03BB8A67DEA5}</author>
    <author>tc={1F6287C1-9E61-7F43-9E92-31563C92D7FD}</author>
    <author>tc={9DC0C90E-12ED-394B-8BED-9B789464C3B3}</author>
    <author>tc={26ABC907-C7A9-E744-A957-466BEDB34FDD}</author>
    <author>tc={A0E7DC60-4AC3-AD42-A87E-B27F2ACBD475}</author>
    <author>tc={A8CA5A98-D001-5A4B-8669-779643C68E73}</author>
    <author>tc={0101EF45-B1AA-1F44-B2BB-BC757EC5FBA7}</author>
    <author>tc={FDB33620-397D-0141-B9E3-460C3BCDC610}</author>
    <author>tc={A3E56CAC-5B3A-E041-B797-6B2994AB4F8C}</author>
    <author>tc={4803CCC5-A44E-7C48-9A31-7D1D38FC0124}</author>
    <author>tc={E6D37DE1-FFE9-974A-A5BB-1B613E25D369}</author>
    <author>tc={4BCCA5D7-765E-AA48-BE08-AB5F0E74774F}</author>
    <author>tc={1D68B959-A100-3741-A149-34AFD48B910A}</author>
    <author>tc={E75F70C7-0B0E-1942-BDD2-80E4788F4DEA}</author>
    <author>tc={130E113A-5752-254F-89D6-5FD0DAE72E49}</author>
    <author>tc={1EFD9DE2-545D-C34B-917E-90FFCFA3C667}</author>
    <author>tc={573E5BE3-6E02-AB49-A1AC-EAD79FFD45FC}</author>
    <author>tc={72CBA9CB-E2EE-EA49-AA8F-EF24669971E0}</author>
    <author>tc={5985A400-1E95-C746-BB5F-451175567E0B}</author>
    <author>tc={0FDC2B44-28FB-1B40-BC2C-646409D66611}</author>
    <author>tc={755F2A65-3149-1140-A67C-4424F0A13DF2}</author>
    <author>tc={4907F2D2-5C1B-4246-8280-3BFCAE5153AF}</author>
    <author>tc={B125D3E2-2FA1-7C42-986A-4E642EDBD398}</author>
    <author>tc={A6090D6C-1E4A-8240-B590-0CD07AC16148}</author>
    <author>tc={A3389D33-2E2B-1C42-A10E-F4E7FFB8872E}</author>
    <author>tc={3678E6D3-11A3-4249-8D5F-D58E5A239036}</author>
    <author>tc={A651BA43-DF9E-2D4B-87BE-50519C85CB2C}</author>
    <author>tc={9553307F-2F6D-0B4D-A9CB-9E05D6A268CA}</author>
    <author>tc={3B6CE19D-5986-A34F-BC99-2DE9BCCA606C}</author>
    <author>tc={E591571E-6C58-B743-BA11-9B5D22F8BA60}</author>
    <author>tc={810F8520-D18B-C44C-A79C-DCBD6B80ACE5}</author>
    <author>tc={5134487C-D238-D94E-8AA9-6DF57D14F624}</author>
    <author>tc={8FDD4C21-A45A-564C-B093-0BB0F35DC538}</author>
    <author>tc={28834C8B-251F-754B-94D8-4B93ABAC1011}</author>
    <author>tc={0FE4C2EA-F937-ED40-8292-A3EC289A8A11}</author>
    <author>tc={B9A799A1-0212-5D4A-8DC9-033141D452FE}</author>
    <author>tc={A880D8F2-3BA9-A74B-A779-71092F7B21AB}</author>
    <author>tc={292D2F95-4E84-5C4F-857A-0751327FB154}</author>
    <author>tc={FBA45342-B2A9-4C4B-900A-39C9A3BCE96F}</author>
    <author>tc={EC47F2B6-7708-194A-985D-F3844B30D079}</author>
    <author>tc={43BBE011-F961-574E-BC00-0FF0BAAA48BB}</author>
    <author>tc={1B3593E7-D883-CA42-90FC-FCE1B2CDAC91}</author>
    <author>tc={ECFBBFB8-AA06-8349-8D31-C1071A464075}</author>
    <author>tc={7A4C99B0-0CBA-BC40-A1EE-6D0C6BC98273}</author>
    <author>tc={B44EB9AC-E1DD-0C45-9554-34CEAE17E7B2}</author>
    <author>tc={0B19332D-0A3F-AF40-AC04-65F7C7E9F58B}</author>
    <author>tc={DFC55854-3F71-C546-9B42-430691D4BA4A}</author>
    <author>tc={DC221971-7E5F-5241-90A3-1E8FB3F8C682}</author>
    <author>tc={17D35E48-8655-704A-AF81-45C82EDC3D2A}</author>
    <author>tc={9B8C88B9-F2F4-C545-8A72-8F8BBF6FC72C}</author>
    <author>tc={DBF95F86-2716-BD4D-99CF-9395AB720FA3}</author>
    <author>tc={114C22DD-6CCD-C245-BF04-6F4054FE9D1E}</author>
    <author>tc={5701661D-6956-A74F-A7AE-80E6D1B3466E}</author>
    <author>tc={AF801097-D1DE-774C-B257-2DD032481D0D}</author>
    <author>tc={003655AE-043B-0148-B841-34D908F3C60C}</author>
    <author>tc={CE82D26B-5889-114D-B15C-E36AF0F9615E}</author>
    <author>tc={119165BA-6160-C14F-97B7-6997C46CFC79}</author>
    <author>tc={AB951CB0-1D6A-3640-BE8F-909646823192}</author>
    <author>tc={1EBF6401-0A8A-7D49-893A-44FF3DC2AF24}</author>
    <author>tc={18BCAD51-96AC-064E-A291-5513F08CD2C9}</author>
    <author>tc={F178C64F-1B38-E645-A7D5-CFB4E773993B}</author>
    <author>tc={BAFF7797-D052-AE4E-A784-E1F7AD27CCE5}</author>
    <author>tc={A8EB0478-349E-EE48-A85E-28ED0160DCD0}</author>
    <author>tc={9EFDBA63-2854-9548-A0EE-79C0EB951F2D}</author>
    <author>tc={97496E09-1E77-A04E-9DAD-89DE70D78ECB}</author>
    <author>tc={54FB90E8-9C1A-D547-A124-12EAAEFA6AA4}</author>
    <author>tc={62FEB401-5E05-0F41-B144-D5C1BCAECEA1}</author>
    <author>tc={9BC99BA6-3C6E-DD4A-8B29-D4211926B630}</author>
    <author>tc={C689EF75-3868-9440-85E8-05B328A478BB}</author>
    <author>tc={CE9C3249-E122-4749-9D46-DD18EBA9DB2A}</author>
    <author>tc={1E302C3A-F00E-144B-B261-CB1146D70288}</author>
    <author>tc={EA988A49-689F-2447-A1FE-49946812F43F}</author>
    <author>tc={42C3D971-6377-9544-BAB0-B11E1FF4EF32}</author>
    <author>tc={6FCD8083-FC58-EE44-91FA-0C95CB81DAC9}</author>
    <author>tc={781999CC-B55C-834C-AA7C-71D0B28CF6AD}</author>
    <author>tc={740A46D0-A442-6F4E-B27D-2CE935C1FC59}</author>
    <author>tc={2AC6684E-6218-E344-AFDF-ECE36D9E0A35}</author>
    <author>tc={47803FA5-054B-E743-8816-77CE04827008}</author>
    <author>tc={452D8DED-3062-ED4A-8AD5-930159863DA0}</author>
    <author>tc={AAE4BC37-0130-8A4F-A9DA-B42F25FB1EFD}</author>
    <author>tc={3B2FE6E2-49C6-7F4B-A998-F9D16F7D5CCC}</author>
    <author>tc={24EBE15D-C667-8C46-9F39-00C18AF2B196}</author>
    <author>tc={AC029712-7A25-0044-ACA5-5373F3604CFC}</author>
    <author>tc={B3923D60-505F-9A49-AAD4-452DFB7F3EF3}</author>
    <author>tc={89AA3517-D9CF-3940-BA72-9BAC601124A9}</author>
    <author>tc={0778D6A9-6B52-F34B-A020-CB90F70D7E8A}</author>
    <author>tc={D8670152-D866-6E4E-911B-2162978F0D24}</author>
    <author>tc={886A9ADB-B09D-3846-9EC8-82DD2C7C21FC}</author>
    <author>tc={D394BCAD-A09F-FE4E-B7BF-E12AE6AC01DD}</author>
    <author>tc={0F75C264-1347-3C47-A99A-1D45BA48642F}</author>
    <author>tc={8BA612DB-9FE9-B04E-B692-97641AE31697}</author>
    <author>tc={2F6380B6-78FC-7343-A5FB-0F535797E3E3}</author>
    <author>tc={B2AD6E8C-9C78-9D4C-A209-C07F5D0A763B}</author>
    <author>tc={97C51946-A476-134D-865D-28C07FDD4B87}</author>
    <author>tc={B90C07B1-D09F-1E4D-BBE8-FAF135AF4EB8}</author>
    <author>tc={9634C28C-C0A3-F940-8D13-8402AA8FCD2A}</author>
    <author>tc={B0679D52-BEFD-C24B-BC64-AF13E23DAFE5}</author>
    <author>tc={AB852C89-8405-414F-9C2A-E115589A785F}</author>
    <author>tc={7075D57A-CDA8-8143-AD9D-76AFF8C2D49B}</author>
    <author>tc={2671A29E-63A9-5549-9749-1207E5A03332}</author>
    <author>tc={35427A90-05DC-494A-B64D-323F6621E9FA}</author>
    <author>tc={61FF925A-8AB2-EA44-877A-3678D0B0F3CE}</author>
    <author>tc={B06DA9DD-F7BD-B14D-96CC-165670B83830}</author>
    <author>tc={DA70B172-AD7A-0F4C-A791-46E5F24CEF35}</author>
    <author>tc={19FD7E56-D89E-CD4F-B304-57C9191E4931}</author>
    <author>tc={540007BF-D743-4748-AE19-99D1056A8891}</author>
    <author>tc={D45BEC74-8987-6440-8E2B-CBF6B5329641}</author>
    <author>tc={6D0A93ED-7737-CD43-8BAE-2D6CD8E2185D}</author>
    <author>tc={8D12D8EB-595A-4B47-8EB6-AA8192FB0D50}</author>
    <author>tc={2134B422-28E0-BC4E-AC49-FFCE911C7A9D}</author>
    <author>tc={B5735C37-4D4E-E64C-8AB8-61F3A806C1A4}</author>
    <author>tc={CA08ED82-EE87-C845-A5D0-74F5E4AA2A79}</author>
    <author>tc={0F4A85FB-AD48-2B4F-9DF7-D09AECFAD433}</author>
    <author>tc={8C385329-6D51-0D4F-AA0A-3F9E7A4CB210}</author>
    <author>tc={CD636F87-E04C-564E-A16F-3E394E5DB549}</author>
    <author>tc={77F6B51A-96A3-B04E-AD89-991B962A2688}</author>
    <author>tc={53EE6DD1-F0DA-D746-A128-537B39DBB407}</author>
    <author>tc={82DA5C16-8AFB-DB4D-830A-0E424615B52D}</author>
    <author>tc={0935C8CD-DDC0-E447-AB4C-B53F869B0D40}</author>
    <author>tc={2DCFE7C6-8324-D246-9936-9F0A265B48F1}</author>
    <author>tc={C979D3B4-AA95-1246-AE1F-C687BED1C749}</author>
    <author>tc={E85C8AE3-2958-EC4B-9076-9AF9D7C0C56E}</author>
    <author>tc={82E2FE8B-3F1D-BE4A-89FC-8DBF59267CE0}</author>
    <author>tc={F5AE3759-ECC7-4647-876C-B9F670421DC8}</author>
    <author>tc={CB450C16-2E8F-514E-92B8-F1D10175B52E}</author>
    <author>tc={51ED0E60-6AE9-4A4B-AF7C-90C7B636F00D}</author>
    <author>tc={26249008-3A5E-D344-89A2-C6C64B02ED74}</author>
    <author>tc={AD47D0FC-6743-5E41-AFA4-3ABE17E90A30}</author>
    <author>tc={9C48B0A6-3DE6-8D4D-AB50-CDA594CFBF56}</author>
    <author>tc={F9D2CB55-A3C3-D242-A92D-9A7793FE4ED2}</author>
    <author>tc={B51C373A-FFDE-5149-AE96-9F4F1D222A0C}</author>
    <author>tc={03C225A2-E3FF-2E42-9AFB-59CF44E1CF48}</author>
    <author>tc={A95F7F79-5905-7F45-BCBF-B0DAA41AADAB}</author>
    <author>tc={F4A9F077-E7FF-C94A-9B45-9A1F59C087CA}</author>
    <author>tc={87B6629B-048C-A141-97B2-58623A6D4065}</author>
    <author>tc={D433ACE7-C3ED-514B-B508-284A39A88A00}</author>
    <author>tc={ACACF51F-0060-B84C-AD03-2297B3E903D5}</author>
    <author>tc={3B7F289D-5753-D241-AA73-A910C5936AC5}</author>
    <author>tc={BDF3EAF0-2065-5B4A-93A9-68AF8ECABF67}</author>
    <author>tc={B447D4C0-CC8D-EB42-BA71-6881591630CC}</author>
    <author>tc={715714C1-1329-3B47-B02C-31F303C93170}</author>
    <author>tc={9767C95F-3FB4-9944-A097-DF8B48F289F5}</author>
    <author>tc={4A39965E-FA36-DC4B-8189-F3876333895A}</author>
    <author>tc={E8E3DC2B-ECD1-FD46-9E41-8944D5827DBD}</author>
    <author>tc={1DFC3CEC-D487-1945-9AC1-C168C52564B0}</author>
    <author>tc={9E14A4EB-8BB8-224B-B204-0E230E48103C}</author>
    <author>tc={6E657D97-F4C3-8C40-9467-548132B87D55}</author>
    <author>tc={10517126-9EB9-CD45-829F-367FAF32AD5D}</author>
    <author>tc={CFD5ABB4-1720-F943-81D5-F9A21C3857BD}</author>
    <author>tc={E6279377-F506-7949-B76B-E0677B5AC069}</author>
    <author>tc={D24A4071-9F6E-4D4E-A090-6EC98CEC0EBF}</author>
    <author>tc={5C2EEE9A-4345-CD42-8D56-A470F1F3251F}</author>
    <author>tc={4C6AB943-1565-6E4F-A0AB-4FB1A8080A4C}</author>
    <author>tc={B3A16DEE-B93C-A24E-B8FF-0DA536CE1210}</author>
    <author>tc={852D42D5-C0EF-A548-AA03-ACEB2E0620C2}</author>
    <author>tc={185F54A2-77E4-584C-B0AC-849D155AD3C0}</author>
    <author>tc={4933F587-56DF-BD47-ADA8-C0F5F051FA41}</author>
    <author>tc={308F4C5D-BAEE-1A41-9976-85873701B19B}</author>
    <author>tc={8D5FE82C-72DF-3F47-9D91-6AE6AD7BEE6D}</author>
    <author>tc={18229EB1-7420-D943-B26A-4140725312B5}</author>
    <author>tc={DA6D469C-0397-5C40-96FC-601891031C1C}</author>
    <author>tc={B64D38C2-397E-3246-B064-5711F42AC41E}</author>
    <author>tc={A47BA2D9-2661-CB4B-AE8F-51AB0EABBC3A}</author>
    <author>tc={11CDDBE3-A88D-C04F-8BD2-26BF3303A4A6}</author>
    <author>tc={7200D951-6130-224F-9A7C-1FE7AA838FBD}</author>
    <author>tc={9DEE380B-F6A3-F94B-8EDE-808DF70F8C44}</author>
    <author>tc={FB20094D-E439-B443-A97A-9A8DCD3E6F6F}</author>
    <author>tc={97C65180-A821-254D-BC65-31A167A9D199}</author>
    <author>tc={80FA5C83-0339-1B46-9DC1-C0CF1470D781}</author>
    <author>tc={151BDC66-5AC2-064E-85A8-572CE7E20324}</author>
    <author>tc={E400C0D5-2857-6042-BFA9-C01155AE6CBE}</author>
    <author>tc={97C8F8F3-DD38-144A-8860-27CBC847E013}</author>
    <author>tc={8122D09D-26FF-AC48-BF90-9DBB56095C01}</author>
    <author>tc={CC00701F-9A3D-CC4E-B795-54A97C5544F3}</author>
    <author>tc={DB360826-A854-8E47-9A7F-490757B71EC9}</author>
    <author>tc={92A9E5B4-F947-054A-AC4A-C3608250A09E}</author>
    <author>tc={F645FDB4-AF40-1042-A3B3-50A18A928F93}</author>
    <author>tc={45818007-5232-5146-9FE7-A6AFD136637F}</author>
    <author>tc={83288169-D2A0-9243-8E34-2BE5C4936797}</author>
    <author>tc={3E224682-693C-1444-A4BB-83AE39EEA8DC}</author>
    <author>tc={6777FB91-0DEB-CB47-9F2D-E4B171F60950}</author>
    <author>tc={DE1D2748-D8F0-8F48-849A-604755C69A2D}</author>
    <author>tc={D56C7A88-8FF7-6746-BAC2-4E8632883C54}</author>
    <author>tc={66A801DE-AF1A-8D43-A44D-0BD238045068}</author>
    <author>tc={E7E665ED-3379-844D-A968-6727F84511E6}</author>
    <author>tc={CD33894C-E997-E949-B0C6-B9A84F4625DA}</author>
    <author>tc={CB6220E2-3644-E446-9CB1-D383AB45824B}</author>
    <author>tc={6DA86403-CCB5-B743-BAFD-D897B125BE30}</author>
    <author>tc={54A70C74-5A05-D44B-AF6E-DBBE9580BBC0}</author>
    <author>tc={FAFDB781-F009-9049-8E02-BBB3C3FC7FE9}</author>
    <author>tc={870D68CC-AAC5-3547-BA9F-38EC2BF38CE4}</author>
    <author>tc={25817E23-57A1-C747-8C16-853CBDD58B2B}</author>
    <author>tc={121792C3-5778-DD4C-998D-57F58622D822}</author>
    <author>tc={3F62AC49-A180-E44B-B9F7-1D3C8B081E19}</author>
    <author>tc={FA478198-B66C-6442-B047-73B7C592C4E2}</author>
    <author>tc={A008A0B2-13F0-7E46-B6EF-FE70BDB13CE0}</author>
    <author>tc={9BA663F0-6C14-574B-B720-CB0904D11A73}</author>
    <author>tc={83AF18D9-F594-BC41-884A-9F682C030049}</author>
    <author>tc={4358D6B7-8D3E-9C42-987B-50675E97A443}</author>
    <author>tc={E0ACF1C0-1223-6943-85EF-A4ABE6D69472}</author>
    <author>tc={636DE84E-46B4-ED4A-81C8-F535069CD0B5}</author>
    <author>tc={A52262C3-7902-814F-B050-A6171E1171D9}</author>
    <author>tc={6AE69382-8233-6446-AEE4-6823FF4B18E5}</author>
    <author>tc={E6BB3715-C578-964F-A047-00398B2B9114}</author>
    <author>tc={2C1484D0-FACD-BB4B-A4BE-5E46E1D9946F}</author>
    <author>tc={80E12E69-DEB3-BE4E-8AFA-4EF26A1F8FA2}</author>
    <author>tc={233759B4-1D63-8D4E-9610-6EDF09620314}</author>
    <author>tc={A66C0E69-0F33-1444-ABEB-984ACC8EC09F}</author>
    <author>tc={A1B28D06-715F-7945-BAF2-72E966DA9C05}</author>
    <author>tc={6129CFC9-2DC2-E34E-B404-672EEDC8B82F}</author>
    <author>tc={F5EC8778-33A7-6342-9D9D-7CDE39C13964}</author>
    <author>tc={EA15B2CA-5950-594E-A601-DF8F0948BF6F}</author>
    <author>tc={9FA6EA77-4FEA-B842-BDA9-E9892F5C95A4}</author>
    <author>tc={40D24C0D-9419-614C-9176-A1E082E67060}</author>
    <author>tc={B4CFAAA0-4E0B-0245-88FB-9AB7567021DF}</author>
    <author>tc={E1729946-8F9D-0441-B610-F7FFFA2DA1BA}</author>
    <author>tc={C55A1998-703C-3E4E-B415-BC3781083785}</author>
    <author>tc={9AFEA527-5E8E-8B4B-8440-FE6DC7FC9AE3}</author>
    <author>tc={A23F4DE2-535F-6448-A7C0-455B6433B424}</author>
    <author>tc={541584B0-CBDF-C749-8E77-5232B301DEBE}</author>
    <author>tc={7655A643-76EB-3D44-A775-57BDE80C8774}</author>
    <author>tc={74EBDE8A-A1C8-E64C-B587-07940F633210}</author>
    <author>tc={8DFCA404-D7B4-3A46-82B8-5F8ADEC2315F}</author>
    <author>tc={7FE475CF-B8F7-1F42-A046-510EAD4D2A3D}</author>
    <author>tc={5849A78D-A4E4-D145-A193-2AA330138E67}</author>
    <author>tc={68D7A907-6F13-C84A-BFA8-AE11635FA552}</author>
    <author>tc={40B820C2-2C37-D243-9698-54576FCEF60C}</author>
    <author>tc={111B3D3D-CBDF-A44F-BC48-288946BBC603}</author>
    <author>tc={B77BB096-2FC6-0C41-B26C-3FB159A54654}</author>
    <author>tc={E087A3A7-E44D-B249-88F2-4BFDFEB05AEA}</author>
    <author>tc={52E13696-17F5-4A4B-8949-40FCD1D81CFF}</author>
    <author>tc={35C2F430-5247-5B42-9DD6-8EC59C74C138}</author>
    <author>tc={5416C936-FED6-5547-A897-0CFA764C8B5C}</author>
    <author>tc={4B6490F5-881D-914E-B678-1DE7C2A02AA0}</author>
    <author>tc={13E4C3C4-FD09-D440-963A-13E1F78A2C39}</author>
    <author>tc={5BFFBE60-870A-DD44-A509-F6C5D4456EFD}</author>
    <author>tc={848C81B1-E103-9747-B5C8-EF22164915CC}</author>
    <author>tc={8ED94BE8-32CA-6A49-802D-4C5DEDCD33E5}</author>
    <author>tc={C552C7A1-9F00-674F-9AAE-C53C0A55DB32}</author>
    <author>tc={3A4D88F9-1EB3-2346-BA80-C4527C815686}</author>
    <author>tc={93BE8BBB-111A-3644-AF68-47E342893802}</author>
    <author>tc={373B25BD-500F-9343-9DDA-32BEF55C18DB}</author>
    <author>tc={C89ADB07-BE4F-5B4D-850D-A44ADF6D39C6}</author>
    <author>tc={BE8ED5D8-8CE9-9A4B-BD69-9D8B350E2C20}</author>
    <author>tc={3F878CC9-6999-BA4E-8A11-040BFBF002FF}</author>
    <author>tc={F1255BAE-720E-524D-B351-3B3496CD832F}</author>
    <author>tc={00B9907F-9F27-D946-9C3C-10EB4C624BA8}</author>
    <author>tc={2A4B5B09-245F-0848-83B1-8C7EB92D098B}</author>
    <author>tc={55CE5AF4-4CDB-AA41-A572-3BDD709C1210}</author>
    <author>tc={2E941C77-3176-A147-90DB-DABEAA9DA5C8}</author>
    <author>tc={3FC3544C-0358-CD4A-8631-3B64DF3FA5BB}</author>
    <author>tc={6A28FDE5-F09F-BD4B-9CD4-CB99253CAA10}</author>
    <author>tc={D20D37DC-6B8C-3A4A-81D6-DA9B6F6C59D7}</author>
    <author>tc={B0776EA6-F8FE-E246-9237-2FE932301E1B}</author>
    <author>tc={AF0F97E7-2643-854C-AF2D-DE1941498757}</author>
    <author>tc={B486B042-45DA-A347-A8A9-F10421C18931}</author>
    <author>tc={F39D5245-1037-E641-8A38-EC8897030ED3}</author>
    <author>tc={66C6327D-7D5C-E347-A48A-F75AE3A74F10}</author>
    <author>tc={00AA3699-D0C1-3540-8C88-627E0CDEE786}</author>
    <author>tc={21129B0C-9888-334A-A2EC-BEDAD630EC1D}</author>
    <author>tc={B70A4148-A868-7C4B-873A-783E317EC593}</author>
    <author>tc={B1EEF776-67CD-AE46-AD6C-86A5AC8613B4}</author>
    <author>tc={E6FF89EB-F0DF-EC42-8C00-21D6453D0B50}</author>
    <author>tc={56FA476B-9FF3-364A-A725-F715FB30C044}</author>
    <author>tc={E28B170C-725D-F240-9174-9C0594A49B31}</author>
    <author>tc={5A4FBE37-5C1D-2946-AACD-DC2B6EA0ADEC}</author>
    <author>tc={5FD15D78-0E02-E94B-A69F-767DF6484D5F}</author>
    <author>tc={BC78B8FE-13C5-314C-8D25-61B43A2FFC4E}</author>
    <author>tc={7F720A1C-3ADF-2740-B74F-118696D5D6A4}</author>
    <author>tc={249C1E9B-F594-2144-A275-67E77F3C6797}</author>
    <author>tc={A2BD2433-550A-AB47-9518-31A509E04943}</author>
    <author>tc={0FF9E71B-FC0B-9145-814E-928F0723B433}</author>
    <author>tc={5927E883-EA2C-2446-9E43-D96398A32166}</author>
    <author>tc={3FE9E3AD-AA70-D944-996A-4ACF380E56D4}</author>
    <author>tc={BE88A7B5-8EFE-9242-AA2E-C7732B4940E9}</author>
    <author>tc={4A507D68-CBAE-5344-903C-74A7FBADEBEB}</author>
    <author>tc={C3683EFD-1138-7A46-9539-36E620C6B0D9}</author>
    <author>tc={5EB3134B-E4B6-1B43-A18F-51AA1BDC3703}</author>
    <author>tc={CA8DCE55-0810-7C4A-8A80-27BC593CE7B4}</author>
    <author>tc={7251653D-FB05-9043-B529-3722EDEC7E1C}</author>
    <author>tc={118B3658-88FB-F94C-AEEA-EBC38B9F5C99}</author>
    <author>tc={8F866D4F-C75C-0041-A341-C6D08A7A13FB}</author>
    <author>tc={2C85BFFD-5737-7941-9CB9-A6CBD3EEFA54}</author>
    <author>tc={5B90E57E-8366-7846-B840-43B50C71F244}</author>
    <author>tc={CF16D80C-E75E-154F-B89C-EB5E4BE88061}</author>
    <author>tc={C599398C-BC3F-594C-9E98-7C4668ED84C9}</author>
    <author>tc={BF0F5E02-4BEC-B64E-9955-F136CF0F0C50}</author>
    <author>tc={94D03BD7-18EE-AE4F-9EBB-FB598F536F1F}</author>
    <author>tc={7BF2EEFF-6A32-E74D-9A95-5CE7AB445A1D}</author>
    <author>tc={B10B6034-F516-6649-BB75-776819B97AE3}</author>
    <author>tc={BF73B536-9074-014D-90ED-F12C5D5AFD67}</author>
    <author>tc={EE278652-E756-FF43-B584-B03163111832}</author>
    <author>tc={09F76964-1681-274E-B694-84210683682F}</author>
    <author>tc={39A42127-DD76-B449-AB53-B175BD459C57}</author>
  </authors>
  <commentList>
    <comment ref="E1" authorId="0" shapeId="0" xr:uid="{3D607AF0-4459-DC4E-B553-A7B431AA67B0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data + healthy preseason (VISA-P above 80, no PT tenderness); potential also with no JUMPHX, but part of the issue is it fluctuates</t>
      </text>
    </comment>
    <comment ref="K1" authorId="1" shapeId="0" xr:uid="{C9E579A1-8255-7044-9A82-1FB6278844E3}">
      <text>
        <t>[Threaded comment]
Your version of Excel allows you to read this threaded comment; however, any edits to it will get removed if the file is opened in a newer version of Excel. Learn more: https://go.microsoft.com/fwlink/?linkid=870924
Comment:
    Age at preseason</t>
      </text>
    </comment>
    <comment ref="L1" authorId="2" shapeId="0" xr:uid="{94195C5F-0BE3-2842-986A-D14E4B57D3DD}">
      <text>
        <t>[Threaded comment]
Your version of Excel allows you to read this threaded comment; however, any edits to it will get removed if the file is opened in a newer version of Excel. Learn more: https://go.microsoft.com/fwlink/?linkid=870924
Comment:
    G = 1, F = 2</t>
      </text>
    </comment>
    <comment ref="R1" authorId="3" shapeId="0" xr:uid="{CBA7F990-A1AD-6749-ACEB-E18E2B9D11CA}">
      <text>
        <t>[Threaded comment]
Your version of Excel allows you to read this threaded comment; however, any edits to it will get removed if the file is opened in a newer version of Excel. Learn more: https://go.microsoft.com/fwlink/?linkid=870924
Comment:
    Lot of players unsure; may not be great data</t>
      </text>
    </comment>
    <comment ref="AU1" authorId="4" shapeId="0" xr:uid="{629F5469-AB02-6747-9984-FFC34709BC1D}">
      <text>
        <t>[Threaded comment]
Your version of Excel allows you to read this threaded comment; however, any edits to it will get removed if the file is opened in a newer version of Excel. Learn more: https://go.microsoft.com/fwlink/?linkid=870924
Comment:
    Trip to training room</t>
      </text>
    </comment>
    <comment ref="AW1" authorId="5" shapeId="0" xr:uid="{5E22D343-9849-7F41-A528-3396B8A43A8B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thickness &gt;11.45mm</t>
      </text>
    </comment>
    <comment ref="AX1" authorId="6" shapeId="0" xr:uid="{3C319064-90FD-B846-B594-C1A265DD9182}">
      <text>
        <t>[Threaded comment]
Your version of Excel allows you to read this threaded comment; however, any edits to it will get removed if the file is opened in a newer version of Excel. Learn more: https://go.microsoft.com/fwlink/?linkid=870924
Comment:
    VISA-P &lt;80 at either mid or post season</t>
      </text>
    </comment>
    <comment ref="AY1" authorId="7" shapeId="0" xr:uid="{E916414B-C761-B744-88A7-8608F474DC79}">
      <text>
        <t>[Threaded comment]
Your version of Excel allows you to read this threaded comment; however, any edits to it will get removed if the file is opened in a newer version of Excel. Learn more: https://go.microsoft.com/fwlink/?linkid=870924
Comment:
    VISA-P &lt;70 at either mid or post season</t>
      </text>
    </comment>
    <comment ref="BC1" authorId="8" shapeId="0" xr:uid="{B932F904-2054-D749-A5CC-56C2D9582CA7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 at mid or postseason US</t>
      </text>
    </comment>
    <comment ref="S2" authorId="9" shapeId="0" xr:uid="{BF062A53-7579-2248-8237-EBF78594EE54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symptoms same from Midseason; write same info</t>
      </text>
    </comment>
    <comment ref="AQ4" authorId="10" shapeId="0" xr:uid="{773E5853-862B-9C47-B216-CB8FE7F6E03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P5" authorId="11" shapeId="0" xr:uid="{59C57F87-1A76-EA4E-A286-2B7BBCD8CE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PRP 2 months prior</t>
      </text>
    </comment>
    <comment ref="AP5" authorId="12" shapeId="0" xr:uid="{26ADEA98-15B3-7649-8397-398E7C6806E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AQ5" authorId="13" shapeId="0" xr:uid="{879D0853-BCA0-8646-93E9-86BD10DF783F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AH6" authorId="14" shapeId="0" xr:uid="{358F3940-4B23-184F-900E-FE05E691B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
Reply:
    HE region</t>
      </text>
    </comment>
    <comment ref="AP6" authorId="15" shapeId="0" xr:uid="{04D0BF5D-C7B2-F843-8608-188BCAB2A4F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X7" authorId="16" shapeId="0" xr:uid="{CE73E046-D14C-7C4F-A3AF-E03176210EB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D7" authorId="17" shapeId="0" xr:uid="{5FAA9F01-CAEE-3241-817A-E8CFD25E163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F7" authorId="18" shapeId="0" xr:uid="{1558BD3A-EC83-C64F-AA40-36D65D9CA37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AP8" authorId="19" shapeId="0" xr:uid="{88B01C06-8AEE-894F-851C-8C866FCB8A9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Q8" authorId="20" shapeId="0" xr:uid="{9E61236A-50AC-B842-BBFE-AE5861F43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P9" authorId="21" shapeId="0" xr:uid="{79839262-5DF4-5C47-8632-8ADEFC81A58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P10" authorId="22" shapeId="0" xr:uid="{E6CED131-7D78-9A46-B277-308C423D98FD}">
      <text>
        <t>[Threaded comment]
Your version of Excel allows you to read this threaded comment; however, any edits to it will get removed if the file is opened in a newer version of Excel. Learn more: https://go.microsoft.com/fwlink/?linkid=870924
Comment:
    R knee jumper’s knee hx; physical therapy only; no injection/surgery</t>
      </text>
    </comment>
    <comment ref="X13" authorId="23" shapeId="0" xr:uid="{2B648C18-CD45-4F4C-BEFB-1896A006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Edema posterior to tendon? vs large PPTT</t>
      </text>
    </comment>
    <comment ref="BD13" authorId="24" shapeId="0" xr:uid="{1DEEF447-B38D-6E4B-9356-742E08F5C918}">
      <text>
        <t>[Threaded comment]
Your version of Excel allows you to read this threaded comment; however, any edits to it will get removed if the file is opened in a newer version of Excel. Learn more: https://go.microsoft.com/fwlink/?linkid=870924
Comment:
    Edema posterior to tendon? vs large PPTT</t>
      </text>
    </comment>
    <comment ref="BF13" authorId="25" shapeId="0" xr:uid="{6F603BB5-FE8F-6848-9C8E-A20C6C27E8A5}">
      <text>
        <t>[Threaded comment]
Your version of Excel allows you to read this threaded comment; however, any edits to it will get removed if the file is opened in a newer version of Excel. Learn more: https://go.microsoft.com/fwlink/?linkid=870924
Comment:
    Edema posterior to tendon? vs large PPTT</t>
      </text>
    </comment>
    <comment ref="AG14" authorId="26" shapeId="0" xr:uid="{7A2C8A8E-47A6-D24B-BBD8-E89AE6680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14" authorId="27" shapeId="0" xr:uid="{ED0F300A-8D43-0C4E-8014-9A44505E338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14" authorId="28" shapeId="0" xr:uid="{828D1FA2-ED58-BC43-B31D-5F447F32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AQ14" authorId="29" shapeId="0" xr:uid="{47DDEA16-C6F3-924C-A7D4-A06E80DD3D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AE15" authorId="30" shapeId="0" xr:uid="{8268A51F-FEDD-0D4B-B223-2DC2873FFBA7}">
      <text>
        <t>[Threaded comment]
Your version of Excel allows you to read this threaded comment; however, any edits to it will get removed if the file is opened in a newer version of Excel. Learn more: https://go.microsoft.com/fwlink/?linkid=870924
Comment:
    Slightly enlarged TT since preseason per player history</t>
      </text>
    </comment>
    <comment ref="Q16" authorId="31" shapeId="0" xr:uid="{ADC59059-DDB6-7A4B-9452-C4DC1FC8DE72}">
      <text>
        <t>[Threaded comment]
Your version of Excel allows you to read this threaded comment; however, any edits to it will get removed if the file is opened in a newer version of Excel. Learn more: https://go.microsoft.com/fwlink/?linkid=870924
Comment:
    R knee arthroscopy for meniscus</t>
      </text>
    </comment>
    <comment ref="X17" authorId="32" shapeId="0" xr:uid="{4C034749-E25C-2342-9F88-216A3D1D0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 Hypoechoic region within tendon
Reply:
    Mild focal HE region</t>
      </text>
    </comment>
    <comment ref="Y17" authorId="33" shapeId="0" xr:uid="{FB89145B-5619-7A4B-B596-7C6023A6F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focal HE region</t>
      </text>
    </comment>
    <comment ref="AP17" authorId="34" shapeId="0" xr:uid="{4CAEF3E8-FCA0-BF45-B6DB-880BE1F7E85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7" authorId="35" shapeId="0" xr:uid="{6137F760-11DF-3347-9E88-C892C8CEC59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 Hypoechoic region within tendon
Reply:
    Mild focal HE region</t>
      </text>
    </comment>
    <comment ref="BF17" authorId="36" shapeId="0" xr:uid="{D8211E40-B755-4947-968A-9B1F71ADEF0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 Hypoechoic region within tendon
Reply:
    Mild focal HE region</t>
      </text>
    </comment>
    <comment ref="BG17" authorId="37" shapeId="0" xr:uid="{F8242201-5CEE-EE44-B5F6-A30B1252721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focal HE region</t>
      </text>
    </comment>
    <comment ref="AP18" authorId="38" shapeId="0" xr:uid="{CE07D8D4-0B6C-3F45-8D0B-F033430C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AQ18" authorId="39" shapeId="0" xr:uid="{D89CA04F-9889-7C48-A306-C305DE25916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A20" authorId="40" shapeId="0" xr:uid="{28F30090-D5A0-5A40-BD29-36F673C6192A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</t>
      </text>
    </comment>
    <comment ref="Q20" authorId="41" shapeId="0" xr:uid="{71326748-3D5F-D940-9D22-499A0C372F0B}">
      <text>
        <t>[Threaded comment]
Your version of Excel allows you to read this threaded comment; however, any edits to it will get removed if the file is opened in a newer version of Excel. Learn more: https://go.microsoft.com/fwlink/?linkid=870924
Comment:
    2x R PT debridement</t>
      </text>
    </comment>
    <comment ref="A21" authorId="42" shapeId="0" xr:uid="{9A4A6B2C-3EFB-0143-8CE0-9E8783B2B617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</t>
      </text>
    </comment>
    <comment ref="Q21" authorId="43" shapeId="0" xr:uid="{0192A892-2339-394A-8F12-078BD6215686}">
      <text>
        <t>[Threaded comment]
Your version of Excel allows you to read this threaded comment; however, any edits to it will get removed if the file is opened in a newer version of Excel. Learn more: https://go.microsoft.com/fwlink/?linkid=870924
Comment:
    1x L PT debridement</t>
      </text>
    </comment>
    <comment ref="R22" authorId="44" shapeId="0" xr:uid="{90AA8EB9-35E2-3D40-828B-4F3BB7B8DB85}">
      <text>
        <t>[Threaded comment]
Your version of Excel allows you to read this threaded comment; however, any edits to it will get removed if the file is opened in a newer version of Excel. Learn more: https://go.microsoft.com/fwlink/?linkid=870924
Comment:
    Bilateral enlarged TT on exam</t>
      </text>
    </comment>
    <comment ref="R23" authorId="45" shapeId="0" xr:uid="{8995ABE5-2242-B847-8E8C-9556E2FB8694}">
      <text>
        <t>[Threaded comment]
Your version of Excel allows you to read this threaded comment; however, any edits to it will get removed if the file is opened in a newer version of Excel. Learn more: https://go.microsoft.com/fwlink/?linkid=870924
Comment:
    Bilateral enlarged TT on exam</t>
      </text>
    </comment>
    <comment ref="AP23" authorId="46" shapeId="0" xr:uid="{5FFBAD24-75A9-3F42-A100-18F667C4EE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AQ23" authorId="47" shapeId="0" xr:uid="{754371B8-7DC9-0B40-B754-E2BA40B2BE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R26" authorId="48" shapeId="0" xr:uid="{6FE4836A-3943-1E48-8BC5-21C8BF1E2ABF}">
      <text>
        <t>[Threaded comment]
Your version of Excel allows you to read this threaded comment; however, any edits to it will get removed if the file is opened in a newer version of Excel. Learn more: https://go.microsoft.com/fwlink/?linkid=870924
Comment:
    Ultrasound confirmed bilateral</t>
      </text>
    </comment>
    <comment ref="AG26" authorId="49" shapeId="0" xr:uid="{5BF6201F-2CFE-DF4E-BE1B-48383C0A3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AH26" authorId="50" shapeId="0" xr:uid="{D67D56D7-49D3-FE49-801F-B155CEC8096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AP26" authorId="51" shapeId="0" xr:uid="{206EF4A6-A1D0-104D-97F8-03BB8A67DEA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Q26" authorId="52" shapeId="0" xr:uid="{1F6287C1-9E61-7F43-9E92-31563C92D7F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26" authorId="53" shapeId="0" xr:uid="{9DC0C90E-12ED-394B-8BED-9B789464C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F26" authorId="54" shapeId="0" xr:uid="{26ABC907-C7A9-E744-A957-466BEDB34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G26" authorId="55" shapeId="0" xr:uid="{A0E7DC60-4AC3-AD42-A87E-B27F2ACBD47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P27" authorId="56" shapeId="0" xr:uid="{A8CA5A98-D001-5A4B-8669-779643C68E73}">
      <text>
        <t>[Threaded comment]
Your version of Excel allows you to read this threaded comment; however, any edits to it will get removed if the file is opened in a newer version of Excel. Learn more: https://go.microsoft.com/fwlink/?linkid=870924
Comment:
    2 years ago; received 2x PRP</t>
      </text>
    </comment>
    <comment ref="R27" authorId="57" shapeId="0" xr:uid="{0101EF45-B1AA-1F44-B2BB-BC757EC5FBA7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him “which knee” and examine</t>
      </text>
    </comment>
    <comment ref="AP27" authorId="58" shapeId="0" xr:uid="{FDB33620-397D-0141-B9E3-460C3BCDC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likeley</t>
      </text>
    </comment>
    <comment ref="AQ27" authorId="59" shapeId="0" xr:uid="{A3E56CAC-5B3A-E041-B797-6B2994AB4F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PPTT most likely </t>
      </text>
    </comment>
    <comment ref="BG27" authorId="60" shapeId="0" xr:uid="{4803CCC5-A44E-7C48-9A31-7D1D38FC0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P28" authorId="61" shapeId="0" xr:uid="{E6D37DE1-FFE9-974A-A5BB-1B613E25D369}">
      <text>
        <t>[Threaded comment]
Your version of Excel allows you to read this threaded comment; however, any edits to it will get removed if the file is opened in a newer version of Excel. Learn more: https://go.microsoft.com/fwlink/?linkid=870924
Comment:
    R knee jumper’s knee hx s/p PRP shots; no other treatment/no hx on L</t>
      </text>
    </comment>
    <comment ref="X28" authorId="62" shapeId="0" xr:uid="{4BCCA5D7-765E-AA48-BE08-AB5F0E74774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Y28" authorId="63" shapeId="0" xr:uid="{1D68B959-A100-3741-A149-34AFD48B9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AG28" authorId="64" shapeId="0" xr:uid="{E75F70C7-0B0E-1942-BDD2-80E4788F4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28" authorId="65" shapeId="0" xr:uid="{130E113A-5752-254F-89D6-5FD0DAE72E4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28" authorId="66" shapeId="0" xr:uid="{1EFD9DE2-545D-C34B-917E-90FFCFA3C66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Y29" authorId="67" shapeId="0" xr:uid="{573E5BE3-6E02-AB49-A1AC-EAD79FFD45F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AG29" authorId="68" shapeId="0" xr:uid="{72CBA9CB-E2EE-EA49-AA8F-EF2466997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29" authorId="69" shapeId="0" xr:uid="{5985A400-1E95-C746-BB5F-451175567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29" authorId="70" shapeId="0" xr:uid="{0FDC2B44-28FB-1B40-BC2C-646409D6661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29" authorId="71" shapeId="0" xr:uid="{755F2A65-3149-1140-A67C-4424F0A13DF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0" authorId="72" shapeId="0" xr:uid="{4907F2D2-5C1B-4246-8280-3BFCAE5153A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30" authorId="73" shapeId="0" xr:uid="{B125D3E2-2FA1-7C42-986A-4E642EDBD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G30" authorId="74" shapeId="0" xr:uid="{A6090D6C-1E4A-8240-B590-0CD07AC1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D31" authorId="75" shapeId="0" xr:uid="{A3389D33-2E2B-1C42-A10E-F4E7FFB88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31" authorId="76" shapeId="0" xr:uid="{3678E6D3-11A3-4249-8D5F-D58E5A2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G31" authorId="77" shapeId="0" xr:uid="{A651BA43-DF9E-2D4B-87BE-50519C85CB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R32" authorId="78" shapeId="0" xr:uid="{9553307F-2F6D-0B4D-A9CB-9E05D6A268CA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Which?</t>
      </text>
    </comment>
    <comment ref="X32" authorId="79" shapeId="0" xr:uid="{3B6CE19D-5986-A34F-BC99-2DE9BCCA6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Y32" authorId="80" shapeId="0" xr:uid="{E591571E-6C58-B743-BA11-9B5D22F8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AE32" authorId="81" shapeId="0" xr:uid="{810F8520-D18B-C44C-A79C-DCBD6B80ACE5}">
      <text>
        <t>[Threaded comment]
Your version of Excel allows you to read this threaded comment; however, any edits to it will get removed if the file is opened in a newer version of Excel. Learn more: https://go.microsoft.com/fwlink/?linkid=870924
Comment:
    TT more painful than PP</t>
      </text>
    </comment>
    <comment ref="AG32" authorId="82" shapeId="0" xr:uid="{5134487C-D238-D94E-8AA9-6DF57D14F6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HE noted</t>
      </text>
    </comment>
    <comment ref="AL32" authorId="83" shapeId="0" xr:uid="{8FDD4C21-A45A-564C-B093-0BB0F35DC538}">
      <text>
        <t>[Threaded comment]
Your version of Excel allows you to read this threaded comment; however, any edits to it will get removed if the file is opened in a newer version of Excel. Learn more: https://go.microsoft.com/fwlink/?linkid=870924
Comment:
    Sprained ACL</t>
      </text>
    </comment>
    <comment ref="R33" authorId="84" shapeId="0" xr:uid="{28834C8B-251F-754B-94D8-4B93ABAC1011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Which?</t>
      </text>
    </comment>
    <comment ref="X33" authorId="85" shapeId="0" xr:uid="{0FE4C2EA-F937-ED40-8292-A3EC289A8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Y33" authorId="86" shapeId="0" xr:uid="{B9A799A1-0212-5D4A-8DC9-033141D45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AE33" authorId="87" shapeId="0" xr:uid="{A880D8F2-3BA9-A74B-A779-71092F7B21AB}">
      <text>
        <t>[Threaded comment]
Your version of Excel allows you to read this threaded comment; however, any edits to it will get removed if the file is opened in a newer version of Excel. Learn more: https://go.microsoft.com/fwlink/?linkid=870924
Comment:
    TT more painful than PP</t>
      </text>
    </comment>
    <comment ref="AG33" authorId="88" shapeId="0" xr:uid="{292D2F95-4E84-5C4F-857A-0751327FB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P33" authorId="89" shapeId="0" xr:uid="{FBA45342-B2A9-4C4B-900A-39C9A3BC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R34" authorId="90" shapeId="0" xr:uid="{EC47F2B6-7708-194A-985D-F3844B30D079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Evaluate L knee TT size next time</t>
      </text>
    </comment>
    <comment ref="AG34" authorId="91" shapeId="0" xr:uid="{43BBE011-F961-574E-BC00-0FF0BAAA4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34" authorId="92" shapeId="0" xr:uid="{1B3593E7-D883-CA42-90FC-FCE1B2CDAC9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34" authorId="93" shapeId="0" xr:uid="{ECFBBFB8-AA06-8349-8D31-C1071A46407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AQ34" authorId="94" shapeId="0" xr:uid="{7A4C99B0-0CBA-BC40-A1EE-6D0C6BC98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R35" authorId="95" shapeId="0" xr:uid="{B44EB9AC-E1DD-0C45-9554-34CEAE17E7B2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Evaluate L knee TT size next time</t>
      </text>
    </comment>
    <comment ref="AP35" authorId="96" shapeId="0" xr:uid="{0B19332D-0A3F-AF40-AC04-65F7C7E9F58B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AQ35" authorId="97" shapeId="0" xr:uid="{DFC55854-3F71-C546-9B42-430691D4BA4A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36" authorId="98" shapeId="0" xr:uid="{DC221971-7E5F-5241-90A3-1E8FB3F8C682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Mild/moderate PPTT/hypoechogenicity</t>
      </text>
    </comment>
    <comment ref="BF36" authorId="99" shapeId="0" xr:uid="{17D35E48-8655-704A-AF81-45C82EDC3D2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Mild/moderate PPTT/hypoechogenicity</t>
      </text>
    </comment>
    <comment ref="BD37" authorId="100" shapeId="0" xr:uid="{9B8C88B9-F2F4-C545-8A72-8F8BBF6FC72C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BF37" authorId="101" shapeId="0" xr:uid="{DBF95F86-2716-BD4D-99CF-9395AB720FA3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BG37" authorId="102" shapeId="0" xr:uid="{114C22DD-6CCD-C245-BF04-6F4054FE9D1E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X38" authorId="103" shapeId="0" xr:uid="{5701661D-6956-A74F-A7AE-80E6D1B3466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Mild/moderate PPTT/hypoechogenicity</t>
      </text>
    </comment>
    <comment ref="AG38" authorId="104" shapeId="0" xr:uid="{AF801097-D1DE-774C-B257-2DD032481D0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38" authorId="105" shapeId="0" xr:uid="{003655AE-043B-0148-B841-34D908F3C60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38" authorId="106" shapeId="0" xr:uid="{CE82D26B-5889-114D-B15C-E36AF0F9615E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Q38" authorId="107" shapeId="0" xr:uid="{119165BA-6160-C14F-97B7-6997C46CF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Q39" authorId="108" shapeId="0" xr:uid="{AB951CB0-1D6A-3640-BE8F-909646823192}">
      <text>
        <t>[Threaded comment]
Your version of Excel allows you to read this threaded comment; however, any edits to it will get removed if the file is opened in a newer version of Excel. Learn more: https://go.microsoft.com/fwlink/?linkid=870924
Comment:
    L knee patellar tendon surgery</t>
      </text>
    </comment>
    <comment ref="X39" authorId="109" shapeId="0" xr:uid="{1EBF6401-0A8A-7D49-893A-44FF3DC2AF24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Y39" authorId="110" shapeId="0" xr:uid="{18BCAD51-96AC-064E-A291-5513F08CD2C9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AG39" authorId="111" shapeId="0" xr:uid="{F178C64F-1B38-E645-A7D5-CFB4E773993B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AH39" authorId="112" shapeId="0" xr:uid="{BAFF7797-D052-AE4E-A784-E1F7AD27CCE5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X40" authorId="113" shapeId="0" xr:uid="{A8EB0478-349E-EE48-A85E-28ED0160DCD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Y40" authorId="114" shapeId="0" xr:uid="{9EFDBA63-2854-9548-A0EE-79C0EB951F2D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Q41" authorId="115" shapeId="0" xr:uid="{97496E09-1E77-A04E-9DAD-89DE70D78ECB}">
      <text>
        <t>[Threaded comment]
Your version of Excel allows you to read this threaded comment; however, any edits to it will get removed if the file is opened in a newer version of Excel. Learn more: https://go.microsoft.com/fwlink/?linkid=870924
Comment:
    L knee ACL, meniscus, patellar tendon surgery</t>
      </text>
    </comment>
    <comment ref="X41" authorId="116" shapeId="0" xr:uid="{54FB90E8-9C1A-D547-A124-12EAAEFA6AA4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</t>
      </text>
    </comment>
    <comment ref="AG41" authorId="117" shapeId="0" xr:uid="{62FEB401-5E05-0F41-B144-D5C1BCAECEA1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surgery; clear sign of enlargement from preseason</t>
      </text>
    </comment>
    <comment ref="T42" authorId="118" shapeId="0" xr:uid="{9BC99BA6-3C6E-DD4A-8B29-D4211926B63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</t>
      </text>
    </comment>
    <comment ref="AG42" authorId="119" shapeId="0" xr:uid="{C689EF75-3868-9440-85E8-05B328A47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42" authorId="120" shapeId="0" xr:uid="{CE9C3249-E122-4749-9D46-DD18EBA9DB2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42" authorId="121" shapeId="0" xr:uid="{1E302C3A-F00E-144B-B261-CB1146D70288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Q42" authorId="122" shapeId="0" xr:uid="{EA988A49-689F-2447-A1FE-49946812F43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T43" authorId="123" shapeId="0" xr:uid="{42C3D971-6377-9544-BAB0-B11E1FF4EF32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</t>
      </text>
    </comment>
    <comment ref="AG43" authorId="124" shapeId="0" xr:uid="{6FCD8083-FC58-EE44-91FA-0C95CB81DAC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H43" authorId="125" shapeId="0" xr:uid="{781999CC-B55C-834C-AA7C-71D0B28CF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P43" authorId="126" shapeId="0" xr:uid="{740A46D0-A442-6F4E-B27D-2CE935C1FC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AQ43" authorId="127" shapeId="0" xr:uid="{2AC6684E-6218-E344-AFDF-ECE36D9E0A35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A44" authorId="128" shapeId="0" xr:uid="{47803FA5-054B-E743-8816-77CE04827008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45" authorId="129" shapeId="0" xr:uid="{452D8DED-3062-ED4A-8AD5-930159863DA0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46" authorId="130" shapeId="0" xr:uid="{AAE4BC37-0130-8A4F-A9DA-B42F25FB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47" authorId="131" shapeId="0" xr:uid="{3B2FE6E2-49C6-7F4B-A998-F9D16F7D5CCC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P49" authorId="132" shapeId="0" xr:uid="{24EBE15D-C667-8C46-9F39-00C18AF2B19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
Reply:
    Unlikely; superficial tendon region anisotropy
Reply:
    Small hypoechoic foci evident</t>
      </text>
    </comment>
    <comment ref="AQ49" authorId="133" shapeId="0" xr:uid="{AC029712-7A25-0044-ACA5-5373F3604CF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</t>
      </text>
    </comment>
    <comment ref="A50" authorId="134" shapeId="0" xr:uid="{B3923D60-505F-9A49-AAD4-452DFB7F3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
Reply:
    Most likely just will not use either midseason walkon</t>
      </text>
    </comment>
    <comment ref="A51" authorId="135" shapeId="0" xr:uid="{89AA3517-D9CF-3940-BA72-9BAC6011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</t>
      </text>
    </comment>
    <comment ref="AP51" authorId="136" shapeId="0" xr:uid="{0778D6A9-6B52-F34B-A020-CB90F70D7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(based on Ultrasound video)</t>
      </text>
    </comment>
    <comment ref="BD51" authorId="137" shapeId="0" xr:uid="{D8670152-D866-6E4E-911B-2162978F0D24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or irrelevant structure posterior?</t>
      </text>
    </comment>
    <comment ref="BF51" authorId="138" shapeId="0" xr:uid="{886A9ADB-B09D-3846-9EC8-82DD2C7C21FC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or irrelevant structure posterior?</t>
      </text>
    </comment>
    <comment ref="BD52" authorId="139" shapeId="0" xr:uid="{D394BCAD-A09F-FE4E-B7BF-E12AE6AC01D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52" authorId="140" shapeId="0" xr:uid="{0F75C264-1347-3C47-A99A-1D45BA48642F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G52" authorId="141" shapeId="0" xr:uid="{8BA612DB-9FE9-B04E-B692-97641AE31697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53" authorId="142" shapeId="0" xr:uid="{2F6380B6-78FC-7343-A5FB-0F535797E3E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53" authorId="143" shapeId="0" xr:uid="{B2AD6E8C-9C78-9D4C-A209-C07F5D0A763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G53" authorId="144" shapeId="0" xr:uid="{97C51946-A476-134D-865D-28C07FDD4B87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P56" authorId="145" shapeId="0" xr:uid="{B90C07B1-D09F-1E4D-BBE8-FAF135AF4EB8}">
      <text>
        <t>[Threaded comment]
Your version of Excel allows you to read this threaded comment; however, any edits to it will get removed if the file is opened in a newer version of Excel. Learn more: https://go.microsoft.com/fwlink/?linkid=870924
Comment:
    Doctor’s visit both knees</t>
      </text>
    </comment>
    <comment ref="P57" authorId="146" shapeId="0" xr:uid="{9634C28C-C0A3-F940-8D13-8402AA8FCD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Doctor’s visit both knees</t>
      </text>
    </comment>
    <comment ref="X57" authorId="147" shapeId="0" xr:uid="{B0679D52-BEFD-C24B-BC64-AF13E23DAFE5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or irrelevant structure posterior?</t>
      </text>
    </comment>
    <comment ref="AG57" authorId="148" shapeId="0" xr:uid="{AB852C89-8405-414F-9C2A-E115589A785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but unlikely; shadowing from patella?</t>
      </text>
    </comment>
    <comment ref="AP57" authorId="149" shapeId="0" xr:uid="{7075D57A-CDA8-8143-AD9D-76AFF8C2D49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possible
Reply:
    Mild/moderate hypoechogenic region on US</t>
      </text>
    </comment>
    <comment ref="P58" authorId="150" shapeId="0" xr:uid="{2671A29E-63A9-5549-9749-1207E5A0333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bilateral patellar tendinitis</t>
      </text>
    </comment>
    <comment ref="R58" authorId="151" shapeId="0" xr:uid="{35427A90-05DC-494A-B64D-323F6621E9FA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side?</t>
      </text>
    </comment>
    <comment ref="X58" authorId="152" shapeId="0" xr:uid="{61FF925A-8AB2-EA44-877A-3678D0B0F3C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Y58" authorId="153" shapeId="0" xr:uid="{B06DA9DD-F7BD-B14D-96CC-165670B8383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G58" authorId="154" shapeId="0" xr:uid="{DA70B172-AD7A-0F4C-A791-46E5F24CEF3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58" authorId="155" shapeId="0" xr:uid="{19FD7E56-D89E-CD4F-B304-57C9191E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58" authorId="156" shapeId="0" xr:uid="{540007BF-D743-4748-AE19-99D1056A889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58" authorId="157" shapeId="0" xr:uid="{D45BEC74-8987-6440-8E2B-CBF6B5329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P59" authorId="158" shapeId="0" xr:uid="{6D0A93ED-7737-CD43-8BAE-2D6CD8E2185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bilateral patellar tendinitis</t>
      </text>
    </comment>
    <comment ref="R59" authorId="159" shapeId="0" xr:uid="{8D12D8EB-595A-4B47-8EB6-AA8192FB0D50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side?</t>
      </text>
    </comment>
    <comment ref="X59" authorId="160" shapeId="0" xr:uid="{2134B422-28E0-BC4E-AC49-FFCE911C7A9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Y59" authorId="161" shapeId="0" xr:uid="{B5735C37-4D4E-E64C-8AB8-61F3A806C1A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G59" authorId="162" shapeId="0" xr:uid="{CA08ED82-EE87-C845-A5D0-74F5E4AA2A7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59" authorId="163" shapeId="0" xr:uid="{0F4A85FB-AD48-2B4F-9DF7-D09AECFAD43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59" authorId="164" shapeId="0" xr:uid="{8C385329-6D51-0D4F-AA0A-3F9E7A4CB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59" authorId="165" shapeId="0" xr:uid="{CD636F87-E04C-564E-A16F-3E394E5DB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R60" authorId="166" shapeId="0" xr:uid="{77F6B51A-96A3-B04E-AD89-991B962A26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on US</t>
      </text>
    </comment>
    <comment ref="AG60" authorId="167" shapeId="0" xr:uid="{53EE6DD1-F0DA-D746-A128-537B39DBB407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HE</t>
      </text>
    </comment>
    <comment ref="AP60" authorId="168" shapeId="0" xr:uid="{82DA5C16-8AFB-DB4D-830A-0E424615B5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
Reply:
    Mild hypoechogenicity</t>
      </text>
    </comment>
    <comment ref="AQ60" authorId="169" shapeId="0" xr:uid="{0935C8CD-DDC0-E447-AB4C-B53F869B0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R61" authorId="170" shapeId="0" xr:uid="{2DCFE7C6-8324-D246-9936-9F0A265B48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on US</t>
      </text>
    </comment>
    <comment ref="AG61" authorId="171" shapeId="0" xr:uid="{C979D3B4-AA95-1246-AE1F-C687BED1C74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AP61" authorId="172" shapeId="0" xr:uid="{E85C8AE3-2958-EC4B-9076-9AF9D7C0C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61" authorId="173" shapeId="0" xr:uid="{82E2FE8B-3F1D-BE4A-89FC-8DBF59267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Q63" authorId="174" shapeId="0" xr:uid="{F5AE3759-ECC7-4647-876C-B9F670421DC8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 procedure
Reply:
    Confirmed L ankle procedure; no knee procedure</t>
      </text>
    </comment>
    <comment ref="AH64" authorId="175" shapeId="0" xr:uid="{CB450C16-2E8F-514E-92B8-F1D10175B52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</t>
      </text>
    </comment>
    <comment ref="AP64" authorId="176" shapeId="0" xr:uid="{51ED0E60-6AE9-4A4B-AF7C-90C7B636F00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U64" authorId="177" shapeId="0" xr:uid="{26249008-3A5E-D344-89A2-C6C64B02ED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AV64" authorId="178" shapeId="0" xr:uid="{AD47D0FC-6743-5E41-AFA4-3ABE17E90A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BG64" authorId="179" shapeId="0" xr:uid="{9C48B0A6-3DE6-8D4D-AB50-CDA594CFBF5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
Reply:
    HE region</t>
      </text>
    </comment>
    <comment ref="AL65" authorId="180" shapeId="0" xr:uid="{F9D2CB55-A3C3-D242-A92D-9A7793FE4ED2}">
      <text>
        <t>[Threaded comment]
Your version of Excel allows you to read this threaded comment; however, any edits to it will get removed if the file is opened in a newer version of Excel. Learn more: https://go.microsoft.com/fwlink/?linkid=870924
Comment:
    L knee meniscal surgery upcoming</t>
      </text>
    </comment>
    <comment ref="AP65" authorId="181" shapeId="0" xr:uid="{B51C373A-FFDE-5149-AE96-9F4F1D22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U65" authorId="182" shapeId="0" xr:uid="{03C225A2-E3FF-2E42-9AFB-59CF44E1CF4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AV65" authorId="183" shapeId="0" xr:uid="{A95F7F79-5905-7F45-BCBF-B0DAA41AADA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A66" authorId="184" shapeId="0" xr:uid="{F4A9F077-E7FF-C94A-9B45-9A1F59C08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</t>
      </text>
    </comment>
    <comment ref="A67" authorId="185" shapeId="0" xr:uid="{87B6629B-048C-A141-97B2-58623A6D4065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</t>
      </text>
    </comment>
    <comment ref="BF72" authorId="186" shapeId="0" xr:uid="{D433ACE7-C3ED-514B-B508-284A39A88A0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72" authorId="187" shapeId="0" xr:uid="{ACACF51F-0060-B84C-AD03-2297B3E90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75" authorId="188" shapeId="0" xr:uid="{3B7F289D-5753-D241-AA73-A910C5936AC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focal HE region</t>
      </text>
    </comment>
    <comment ref="BF82" authorId="189" shapeId="0" xr:uid="{BDF3EAF0-2065-5B4A-93A9-68AF8ECAB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G82" authorId="190" shapeId="0" xr:uid="{B447D4C0-CC8D-EB42-BA71-6881591630C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D84" authorId="191" shapeId="0" xr:uid="{715714C1-1329-3B47-B02C-31F303C9317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F84" authorId="192" shapeId="0" xr:uid="{9767C95F-3FB4-9944-A097-DF8B48F289F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84" authorId="193" shapeId="0" xr:uid="{4A39965E-FA36-DC4B-8189-F3876333895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85" authorId="194" shapeId="0" xr:uid="{E8E3DC2B-ECD1-FD46-9E41-8944D5827D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F85" authorId="195" shapeId="0" xr:uid="{1DFC3CEC-D487-1945-9AC1-C168C5256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85" authorId="196" shapeId="0" xr:uid="{9E14A4EB-8BB8-224B-B204-0E230E48103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88" authorId="197" shapeId="0" xr:uid="{6E657D97-F4C3-8C40-9467-548132B87D5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88" authorId="198" shapeId="0" xr:uid="{10517126-9EB9-CD45-829F-367FAF32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HE noted</t>
      </text>
    </comment>
    <comment ref="BD89" authorId="199" shapeId="0" xr:uid="{CFD5ABB4-1720-F943-81D5-F9A21C3857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89" authorId="200" shapeId="0" xr:uid="{E6279377-F506-7949-B76B-E0677B5AC06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90" authorId="201" shapeId="0" xr:uid="{D24A4071-9F6E-4D4E-A090-6EC98CEC0EB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90" authorId="202" shapeId="0" xr:uid="{5C2EEE9A-4345-CD42-8D56-A470F1F3251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94" authorId="203" shapeId="0" xr:uid="{4C6AB943-1565-6E4F-A0AB-4FB1A8080A4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94" authorId="204" shapeId="0" xr:uid="{B3A16DEE-B93C-A24E-B8FF-0DA536CE1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95" authorId="205" shapeId="0" xr:uid="{852D42D5-C0EF-A548-AA03-ACEB2E0620C2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BF95" authorId="206" shapeId="0" xr:uid="{185F54A2-77E4-584C-B0AC-849D155AD3C0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G95" authorId="207" shapeId="0" xr:uid="{4933F587-56DF-BD47-ADA8-C0F5F051FA41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F97" authorId="208" shapeId="0" xr:uid="{308F4C5D-BAEE-1A41-9976-85873701B19B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surgery; clear sign of enlargement from preseason</t>
      </text>
    </comment>
    <comment ref="BF98" authorId="209" shapeId="0" xr:uid="{8D5FE82C-72DF-3F47-9D91-6AE6AD7BE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98" authorId="210" shapeId="0" xr:uid="{18229EB1-7420-D943-B26A-4140725312B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99" authorId="211" shapeId="0" xr:uid="{DA6D469C-0397-5C40-96FC-601891031C1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99" authorId="212" shapeId="0" xr:uid="{B64D38C2-397E-3246-B064-5711F42AC41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09" authorId="213" shapeId="0" xr:uid="{A47BA2D9-2661-CB4B-AE8F-51AB0EABB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but unlikely; shadowing from patella?</t>
      </text>
    </comment>
    <comment ref="BD110" authorId="214" shapeId="0" xr:uid="{11CDDBE3-A88D-C04F-8BD2-26BF3303A4A6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110" authorId="215" shapeId="0" xr:uid="{7200D951-6130-224F-9A7C-1FE7AA838FB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110" authorId="216" shapeId="0" xr:uid="{9DEE380B-F6A3-F94B-8EDE-808DF70F8C4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11" authorId="217" shapeId="0" xr:uid="{FB20094D-E439-B443-A97A-9A8DCD3E6F6F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111" authorId="218" shapeId="0" xr:uid="{97C65180-A821-254D-BC65-31A167A9D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111" authorId="219" shapeId="0" xr:uid="{80FA5C83-0339-1B46-9DC1-C0CF1470D78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12" authorId="220" shapeId="0" xr:uid="{151BDC66-5AC2-064E-85A8-572CE7E2032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HE</t>
      </text>
    </comment>
    <comment ref="BF113" authorId="221" shapeId="0" xr:uid="{E400C0D5-2857-6042-BFA9-C01155AE6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G116" authorId="222" shapeId="0" xr:uid="{97C8F8F3-DD38-144A-8860-27CBC847E01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</t>
      </text>
    </comment>
    <comment ref="BG122" authorId="223" shapeId="0" xr:uid="{8122D09D-26FF-AC48-BF90-9DBB5609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F123" authorId="224" shapeId="0" xr:uid="{CC00701F-9A3D-CC4E-B795-54A97C5544F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G123" authorId="225" shapeId="0" xr:uid="{DB360826-A854-8E47-9A7F-490757B71EC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F124" authorId="226" shapeId="0" xr:uid="{92A9E5B4-F947-054A-AC4A-C3608250A09E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F126" authorId="227" shapeId="0" xr:uid="{F645FDB4-AF40-1042-A3B3-50A18A928F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G126" authorId="228" shapeId="0" xr:uid="{45818007-5232-5146-9FE7-A6AFD136637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F127" authorId="229" shapeId="0" xr:uid="{83288169-D2A0-9243-8E34-2BE5C4936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30" authorId="230" shapeId="0" xr:uid="{3E224682-693C-1444-A4BB-83AE39EEA8D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32" authorId="231" shapeId="0" xr:uid="{6777FB91-0DEB-CB47-9F2D-E4B171F60950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G132" authorId="232" shapeId="0" xr:uid="{DE1D2748-D8F0-8F48-849A-604755C69A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F135" authorId="233" shapeId="0" xr:uid="{D56C7A88-8FF7-6746-BAC2-4E8632883C5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36" authorId="234" shapeId="0" xr:uid="{66A801DE-AF1A-8D43-A44D-0BD238045068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G136" authorId="235" shapeId="0" xr:uid="{E7E665ED-3379-844D-A968-6727F84511E6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F139" authorId="236" shapeId="0" xr:uid="{CD33894C-E997-E949-B0C6-B9A84F4625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G139" authorId="237" shapeId="0" xr:uid="{CB6220E2-3644-E446-9CB1-D383AB4582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140" authorId="238" shapeId="0" xr:uid="{6DA86403-CCB5-B743-BAFD-D897B125BE3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D142" authorId="239" shapeId="0" xr:uid="{54A70C74-5A05-D44B-AF6E-DBBE9580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42" authorId="240" shapeId="0" xr:uid="{FAFDB781-F009-9049-8E02-BBB3C3FC7FE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G142" authorId="241" shapeId="0" xr:uid="{870D68CC-AAC5-3547-BA9F-38EC2BF38CE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143" authorId="242" shapeId="0" xr:uid="{25817E23-57A1-C747-8C16-853CBDD58B2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43" authorId="243" shapeId="0" xr:uid="{121792C3-5778-DD4C-998D-57F58622D82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likeley</t>
      </text>
    </comment>
    <comment ref="BG143" authorId="244" shapeId="0" xr:uid="{3F62AC49-A180-E44B-B9F7-1D3C8B081E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PPTT most likely </t>
      </text>
    </comment>
    <comment ref="BF144" authorId="245" shapeId="0" xr:uid="{FA478198-B66C-6442-B047-73B7C592C4E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45" authorId="246" shapeId="0" xr:uid="{A008A0B2-13F0-7E46-B6EF-FE70BDB13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45" authorId="247" shapeId="0" xr:uid="{9BA663F0-6C14-574B-B720-CB0904D11A7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146" authorId="248" shapeId="0" xr:uid="{83AF18D9-F594-BC41-884A-9F682C0300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HE noted</t>
      </text>
    </comment>
    <comment ref="BD147" authorId="249" shapeId="0" xr:uid="{4358D6B7-8D3E-9C42-987B-50675E97A44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147" authorId="250" shapeId="0" xr:uid="{E0ACF1C0-1223-6943-85EF-A4ABE6D6947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48" authorId="251" shapeId="0" xr:uid="{636DE84E-46B4-ED4A-81C8-F535069CD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48" authorId="252" shapeId="0" xr:uid="{A52262C3-7902-814F-B050-A6171E1171D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G148" authorId="253" shapeId="0" xr:uid="{6AE69382-8233-6446-AEE4-6823FF4B18E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F149" authorId="254" shapeId="0" xr:uid="{E6BB3715-C578-964F-A047-00398B2B9114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G149" authorId="255" shapeId="0" xr:uid="{2C1484D0-FACD-BB4B-A4BE-5E46E1D9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152" authorId="256" shapeId="0" xr:uid="{80E12E69-DEB3-BE4E-8AFA-4EF26A1F8FA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52" authorId="257" shapeId="0" xr:uid="{233759B4-1D63-8D4E-9610-6EDF096203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G152" authorId="258" shapeId="0" xr:uid="{A66C0E69-0F33-1444-ABEB-984ACC8EC09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153" authorId="259" shapeId="0" xr:uid="{A1B28D06-715F-7945-BAF2-72E966DA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D155" authorId="260" shapeId="0" xr:uid="{6129CFC9-2DC2-E34E-B404-672EEDC8B82F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surgery; clear sign of enlargement from preseason</t>
      </text>
    </comment>
    <comment ref="BD156" authorId="261" shapeId="0" xr:uid="{F5EC8778-33A7-6342-9D9D-7CDE39C13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56" authorId="262" shapeId="0" xr:uid="{EA15B2CA-5950-594E-A601-DF8F0948BF6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G156" authorId="263" shapeId="0" xr:uid="{9FA6EA77-4FEA-B842-BDA9-E9892F5C95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157" authorId="264" shapeId="0" xr:uid="{40D24C0D-9419-614C-9176-A1E082E6706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57" authorId="265" shapeId="0" xr:uid="{B4CFAAA0-4E0B-0245-88FB-9AB7567021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G157" authorId="266" shapeId="0" xr:uid="{E1729946-8F9D-0441-B610-F7FFFA2DA1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F159" authorId="267" shapeId="0" xr:uid="{C55A1998-703C-3E4E-B415-BC37810837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
Reply:
    Unlikely; superficial tendon region anisotropy
Reply:
    Small hypoechoic foci evident</t>
      </text>
    </comment>
    <comment ref="BG159" authorId="268" shapeId="0" xr:uid="{9AFEA527-5E8E-8B4B-8440-FE6DC7FC9A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</t>
      </text>
    </comment>
    <comment ref="BF161" authorId="269" shapeId="0" xr:uid="{A23F4DE2-535F-6448-A7C0-455B6433B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(based on Ultrasound video)</t>
      </text>
    </comment>
    <comment ref="BD167" authorId="270" shapeId="0" xr:uid="{541584B0-CBDF-C749-8E77-5232B301DEB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but unlikely; shadowing from patella?</t>
      </text>
    </comment>
    <comment ref="BF167" authorId="271" shapeId="0" xr:uid="{7655A643-76EB-3D44-A775-57BDE80C877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possible
Reply:
    Mild/moderate hypoechogenic region on US</t>
      </text>
    </comment>
    <comment ref="BD168" authorId="272" shapeId="0" xr:uid="{74EBDE8A-A1C8-E64C-B587-07940F633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68" authorId="273" shapeId="0" xr:uid="{8DFCA404-D7B4-3A46-82B8-5F8ADEC2315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68" authorId="274" shapeId="0" xr:uid="{7FE475CF-B8F7-1F42-A046-510EAD4D2A3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169" authorId="275" shapeId="0" xr:uid="{5849A78D-A4E4-D145-A193-2AA330138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69" authorId="276" shapeId="0" xr:uid="{68D7A907-6F13-C84A-BFA8-AE11635FA55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69" authorId="277" shapeId="0" xr:uid="{40B820C2-2C37-D243-9698-54576FCEF60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170" authorId="278" shapeId="0" xr:uid="{111B3D3D-CBDF-A44F-BC48-288946BBC60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HE</t>
      </text>
    </comment>
    <comment ref="BF170" authorId="279" shapeId="0" xr:uid="{B77BB096-2FC6-0C41-B26C-3FB159A546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
Reply:
    Mild hypoechogenicity</t>
      </text>
    </comment>
    <comment ref="BG170" authorId="280" shapeId="0" xr:uid="{E087A3A7-E44D-B249-88F2-4BFDFEB05AE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D171" authorId="281" shapeId="0" xr:uid="{52E13696-17F5-4A4B-8949-40FCD1D81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F171" authorId="282" shapeId="0" xr:uid="{35C2F430-5247-5B42-9DD6-8EC59C74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71" authorId="283" shapeId="0" xr:uid="{5416C936-FED6-5547-A897-0CFA764C8B5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74" authorId="284" shapeId="0" xr:uid="{4B6490F5-881D-914E-B678-1DE7C2A02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75" authorId="285" shapeId="0" xr:uid="{13E4C3C4-FD09-D440-963A-13E1F78A2C3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82" authorId="286" shapeId="0" xr:uid="{5BFFBE60-870A-DD44-A509-F6C5D4456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
Reply:
    HE region</t>
      </text>
    </comment>
    <comment ref="BD190" authorId="287" shapeId="0" xr:uid="{848C81B1-E103-9747-B5C8-EF22164915C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00" authorId="288" shapeId="0" xr:uid="{8ED94BE8-32CA-6A49-802D-4C5DEDCD33E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D202" authorId="289" shapeId="0" xr:uid="{C552C7A1-9F00-674F-9AAE-C53C0A55D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03" authorId="290" shapeId="0" xr:uid="{3A4D88F9-1EB3-2346-BA80-C4527C81568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08" authorId="291" shapeId="0" xr:uid="{93BE8BBB-111A-3644-AF68-47E34289380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12" authorId="292" shapeId="0" xr:uid="{373B25BD-500F-9343-9DDA-32BEF55C18D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13" authorId="293" shapeId="0" xr:uid="{C89ADB07-BE4F-5B4D-850D-A44ADF6D39C6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D216" authorId="294" shapeId="0" xr:uid="{BE8ED5D8-8CE9-9A4B-BD69-9D8B350E2C2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17" authorId="295" shapeId="0" xr:uid="{3F878CC9-6999-BA4E-8A11-040BFBF002F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28" authorId="296" shapeId="0" xr:uid="{F1255BAE-720E-524D-B351-3B3496CD832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29" authorId="297" shapeId="0" xr:uid="{00B9907F-9F27-D946-9C3C-10EB4C624BA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34" authorId="298" shapeId="0" xr:uid="{2A4B5B09-245F-0848-83B1-8C7EB92D0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</t>
      </text>
    </comment>
    <comment ref="BD241" authorId="299" shapeId="0" xr:uid="{55CE5AF4-4CDB-AA41-A572-3BDD709C121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D242" authorId="300" shapeId="0" xr:uid="{2E941C77-3176-A147-90DB-DABEAA9DA5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244" authorId="301" shapeId="0" xr:uid="{3FC3544C-0358-CD4A-8631-3B64DF3FA5BB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245" authorId="302" shapeId="0" xr:uid="{6A28FDE5-F09F-BD4B-9CD4-CB99253CAA1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50" authorId="303" shapeId="0" xr:uid="{D20D37DC-6B8C-3A4A-81D6-DA9B6F6C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253" authorId="304" shapeId="0" xr:uid="{B0776EA6-F8FE-E246-9237-2FE932301E1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54" authorId="305" shapeId="0" xr:uid="{AF0F97E7-2643-854C-AF2D-DE1941498757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D257" authorId="306" shapeId="0" xr:uid="{B486B042-45DA-A347-A8A9-F10421C189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260" authorId="307" shapeId="0" xr:uid="{F39D5245-1037-E641-8A38-EC8897030ED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261" authorId="308" shapeId="0" xr:uid="{66C6327D-7D5C-E347-A48A-F75AE3A74F1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likeley</t>
      </text>
    </comment>
    <comment ref="BD262" authorId="309" shapeId="0" xr:uid="{00AA3699-D0C1-3540-8C88-627E0CDEE78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63" authorId="310" shapeId="0" xr:uid="{21129B0C-9888-334A-A2EC-BEDAD630EC1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65" authorId="311" shapeId="0" xr:uid="{B70A4148-A868-7C4B-873A-783E317EC59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66" authorId="312" shapeId="0" xr:uid="{B1EEF776-67CD-AE46-AD6C-86A5AC8613B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D267" authorId="313" shapeId="0" xr:uid="{E6FF89EB-F0DF-EC42-8C00-21D6453D0B50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270" authorId="314" shapeId="0" xr:uid="{56FA476B-9FF3-364A-A725-F715FB30C0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274" authorId="315" shapeId="0" xr:uid="{E28B170C-725D-F240-9174-9C0594A49B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275" authorId="316" shapeId="0" xr:uid="{5A4FBE37-5C1D-2946-AACD-DC2B6EA0AD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D277" authorId="317" shapeId="0" xr:uid="{5FD15D78-0E02-E94B-A69F-767DF648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
Reply:
    Unlikely; superficial tendon region anisotropy
Reply:
    Small hypoechoic foci evident</t>
      </text>
    </comment>
    <comment ref="BD279" authorId="318" shapeId="0" xr:uid="{BC78B8FE-13C5-314C-8D25-61B43A2FFC4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(based on Ultrasound video)</t>
      </text>
    </comment>
    <comment ref="BD285" authorId="319" shapeId="0" xr:uid="{7F720A1C-3ADF-2740-B74F-118696D5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possible
Reply:
    Mild/moderate hypoechogenic region on US</t>
      </text>
    </comment>
    <comment ref="BD286" authorId="320" shapeId="0" xr:uid="{249C1E9B-F594-2144-A275-67E77F3C6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87" authorId="321" shapeId="0" xr:uid="{A2BD2433-550A-AB47-9518-31A509E0494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88" authorId="322" shapeId="0" xr:uid="{0FF9E71B-FC0B-9145-814E-928F0723B43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
Reply:
    Mild hypoechogenicity</t>
      </text>
    </comment>
    <comment ref="BD289" authorId="323" shapeId="0" xr:uid="{5927E883-EA2C-2446-9E43-D96398A3216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92" authorId="324" shapeId="0" xr:uid="{3FE9E3AD-AA70-D944-996A-4ACF380E56D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93" authorId="325" shapeId="0" xr:uid="{BE88A7B5-8EFE-9242-AA2E-C7732B4940E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98" authorId="326" shapeId="0" xr:uid="{4A507D68-CBAE-5344-903C-74A7FBAD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D299" authorId="327" shapeId="0" xr:uid="{C3683EFD-1138-7A46-9539-36E620C6B0D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D302" authorId="328" shapeId="0" xr:uid="{5EB3134B-E4B6-1B43-A18F-51AA1BDC3703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308" authorId="329" shapeId="0" xr:uid="{CA8DCE55-0810-7C4A-8A80-27BC593CE7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312" authorId="330" shapeId="0" xr:uid="{7251653D-FB05-9043-B529-3722EDEC7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D315" authorId="331" shapeId="0" xr:uid="{118B3658-88FB-F94C-AEEA-EBC38B9F5C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318" authorId="332" shapeId="0" xr:uid="{8F866D4F-C75C-0041-A341-C6D08A7A13F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319" authorId="333" shapeId="0" xr:uid="{2C85BFFD-5737-7941-9CB9-A6CBD3EEFA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PPTT most likely </t>
      </text>
    </comment>
    <comment ref="BD321" authorId="334" shapeId="0" xr:uid="{5B90E57E-8366-7846-B840-43B50C71F24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24" authorId="335" shapeId="0" xr:uid="{CF16D80C-E75E-154F-B89C-EB5E4BE88061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D325" authorId="336" shapeId="0" xr:uid="{C599398C-BC3F-594C-9E98-7C4668ED84C9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328" authorId="337" shapeId="0" xr:uid="{BF0F5E02-4BEC-B64E-9955-F136CF0F0C50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332" authorId="338" shapeId="0" xr:uid="{94D03BD7-18EE-AE4F-9EBB-FB598F53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333" authorId="339" shapeId="0" xr:uid="{7BF2EEFF-6A32-E74D-9A95-5CE7AB445A1D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D335" authorId="340" shapeId="0" xr:uid="{B10B6034-F516-6649-BB75-776819B97A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</t>
      </text>
    </comment>
    <comment ref="BD344" authorId="341" shapeId="0" xr:uid="{BF73B536-9074-014D-90ED-F12C5D5AFD6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45" authorId="342" shapeId="0" xr:uid="{EE278652-E756-FF43-B584-B0316311183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46" authorId="343" shapeId="0" xr:uid="{09F76964-1681-274E-B694-842106836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D347" authorId="344" shapeId="0" xr:uid="{39A42127-DD76-B449-AB53-B175BD45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tc={33287CC0-FFC9-2D4F-B763-D8C2AF3715BA}</author>
    <author>tc={F2DF1F68-6DFB-0241-A21F-42CCD7634E24}</author>
    <author>tc={BC3E5D85-62D6-C24D-8E75-6AC6BB9F55E0}</author>
    <author>tc={EA7FE308-9762-954C-9792-8D56B6CE4395}</author>
    <author>tc={DD0E4D2C-2033-8644-9E50-F5F9D21D54F0}</author>
    <author>tc={833FB22C-847F-3044-8219-13E1DDAB7CAE}</author>
    <author>tc={295B06A1-88AD-EF42-948F-D9646B0E3AD6}</author>
    <author>tc={6E873E32-F054-CA40-9A97-050E1AA64D12}</author>
    <author>tc={DE7F87F5-BB86-2247-8800-CA65A54202F2}</author>
    <author>tc={51AFD971-1AB2-1F48-9C6F-8C2ADF1F7A89}</author>
    <author>tc={0C8720D0-1BB3-3940-BFBD-465EFB30AEA2}</author>
    <author>tc={C9C0BB1E-46D4-C24D-83B2-964C348C4E2F}</author>
    <author>tc={6984252E-BA95-6943-8641-BD15C832CB4E}</author>
    <author>tc={D10C4563-9F5E-BA45-A78D-BEED974EFBC8}</author>
    <author>tc={4589FE65-6242-1440-8327-416AE26354BD}</author>
    <author>tc={F3D42037-F1D2-8C45-A856-F2154C2B762A}</author>
    <author>tc={C9FD0144-DF83-0A44-8EE3-D2BA810E2B7E}</author>
    <author>tc={EBE4A3D9-3969-AF4B-96F4-4B6F36DB4D43}</author>
    <author>tc={30791569-6FA9-4242-AEB1-B98822186881}</author>
    <author>tc={57075C56-0765-3E45-B82E-81D83A68FA15}</author>
    <author>tc={82EC0962-DCEA-4E4F-8118-699268A0DA07}</author>
    <author>tc={D650C1BB-A096-264D-9507-75893D517195}</author>
    <author>tc={AF3E033B-A6B4-9A4A-846D-56E518D75277}</author>
    <author>tc={5AAC4A09-9CA2-E245-B6C6-D3D9E72B31A3}</author>
    <author>tc={4C0F914F-63FB-0140-8F1D-0FB0B27E8551}</author>
    <author>tc={ED92247C-84A4-4042-8617-08EC4F655CA5}</author>
    <author>tc={60CDB450-C7E5-D246-81AF-D5BDCC97635A}</author>
    <author>tc={CB601405-B684-5042-AF62-E8ADBFD15B80}</author>
    <author>tc={AB0EDA5E-F615-6540-8E3F-B0063568BB6D}</author>
    <author>tc={265837DE-FC2A-1848-9F18-2447D9A4B3AE}</author>
    <author>tc={8B76B45C-1F30-6C42-9762-3CF366F1DFE8}</author>
    <author>tc={D209EE1B-0550-164A-8079-CEAE374ABDBD}</author>
    <author>tc={80867CEA-CD1E-5E4F-9F8E-0162573ECD03}</author>
    <author>tc={F97DA836-9F0D-564D-88E7-4ECE0C043F2F}</author>
    <author>tc={036F0DDA-D82B-C04A-8CFE-28B9D4491752}</author>
    <author>tc={B88C4C0A-73B5-D141-ADCC-AD04E25DF993}</author>
    <author>tc={406A1C58-9FD0-8B49-8290-4F25E8D3BFB0}</author>
    <author>tc={360CF912-801D-FD43-B25C-1D7F5564C1C6}</author>
    <author>tc={BDD1171A-BD81-A64F-BD3E-44D5B710FFEA}</author>
    <author>tc={492507F7-AD7B-5946-B011-153581B4AAF3}</author>
    <author>tc={9CF1D786-ACF3-B64B-AD49-87A11E99ECB5}</author>
    <author>tc={5D1CCA93-2C8C-E04C-AE6C-62E857CEEFFC}</author>
    <author>tc={809D4A08-4DBC-334E-8421-13F839669945}</author>
    <author>tc={D9D8A596-4C02-5143-8D88-25766B67A592}</author>
    <author>tc={C7B8ADC8-49F9-0747-ABB6-89EB7AA927D9}</author>
    <author>tc={62E2EE7B-BCC8-2A4F-8C5B-8A2870FC532D}</author>
    <author>tc={E96B8075-0312-5048-9915-FAF6A10C0E91}</author>
    <author>tc={3B29117A-89DE-BE44-AE99-385779D33F72}</author>
    <author>tc={8715E06B-1E0E-D642-A54F-86399AF255E2}</author>
    <author>tc={B656A6BE-E949-F04A-BD31-B76AA023C700}</author>
    <author>tc={984E6DA0-680B-8743-8B26-D39AE0A8D16F}</author>
    <author>tc={838B7EA4-2191-C148-ABCB-825825DF9218}</author>
    <author>tc={49AE0A69-79A5-6D46-82BD-79C1C963ED31}</author>
    <author>tc={9235F350-72E3-C24C-8E94-F9EDA8DCF909}</author>
    <author>tc={62327332-AD7F-184E-A6EB-AB8AE1BCA67B}</author>
    <author>tc={28FF42AB-4184-6449-A02C-D00B7F66C9E4}</author>
    <author>tc={616306BE-9DCD-614D-8F51-B02F2C7B0D49}</author>
    <author>tc={864AC60E-0AFC-E649-9908-646398ACABFF}</author>
    <author>tc={53D448CA-8EB3-6E4B-9E49-1B946F46F63F}</author>
    <author>tc={6B703FFA-3870-F446-B45B-F177913E1E64}</author>
    <author>tc={F468A76C-621E-EE43-A87D-7816085F4149}</author>
    <author>tc={4C8E98C4-DE62-C54E-B2D5-519FCBA4A950}</author>
    <author>tc={D429D269-DAB0-0249-9F39-141D2C88724B}</author>
    <author>tc={62AA5BCE-C175-8444-9678-605D66FD1EEB}</author>
    <author>tc={2B4D851C-067F-E347-87EE-3E60A17BCC2D}</author>
    <author>tc={C341442A-0A09-3B45-99D2-ED99CEDDAB75}</author>
    <author>tc={593FD04A-9E53-F64C-B2ED-75ACD684DFB7}</author>
    <author>tc={E380207E-4A9A-F34B-8468-11CE30BC27FB}</author>
    <author>tc={2980E637-1A11-9F43-9CDF-BDEA04FB5811}</author>
    <author>tc={C69AEDE4-AC3F-964A-8B4D-02B9CE817614}</author>
    <author>tc={B7F2EE11-7D51-AB4F-9E1C-B240CBBA09B3}</author>
    <author>tc={036E60B2-777C-FB42-BF86-162A489F6DBE}</author>
    <author>tc={9D9189AB-FE47-B846-8B76-FB8D782DC8B9}</author>
    <author>tc={E4CE67F1-2B08-804D-BA0B-9053E559AEC7}</author>
    <author>tc={6CCB8068-74E5-6145-8040-D01AF9F7764B}</author>
    <author>tc={95BDA3C3-0560-B84A-85DE-2D27E3073C44}</author>
    <author>tc={9E2565FC-B7D9-1141-801F-DE65B45C4CC1}</author>
    <author>tc={765E8F9C-526D-5C43-83A4-B50A2AFE7FD1}</author>
    <author>tc={56818E6D-2D38-314A-ACD4-7B202FF9D3F6}</author>
    <author>tc={0512382F-A990-F641-AFC8-B7C99DFEDF35}</author>
    <author>tc={BC11490C-E98D-3A42-9B75-724C72FD54EE}</author>
    <author>tc={823B3450-B662-3347-BDC3-9BCE8E2357DE}</author>
    <author>tc={0D1515D9-E12E-744F-A5CC-C0F31E70708A}</author>
    <author>tc={7D297D51-6164-A642-9B78-EDE6E0E4A5EE}</author>
    <author>tc={7284381A-C789-9A42-93A4-6CA473116907}</author>
    <author>tc={CC9BA30E-0210-E847-9CF1-EF2188148CE5}</author>
    <author>tc={5233A717-E015-5741-ADC5-D419110A5E73}</author>
    <author>tc={7B9407C6-11F6-A14F-A178-FB15220695AD}</author>
    <author>tc={EF4771D5-AF34-B440-AC64-5A7CCC0F0B73}</author>
    <author>tc={AB0C0F7D-C9DD-7146-AC23-924A7915399A}</author>
    <author>tc={8AECC717-3991-F24E-AC80-93AAA5325868}</author>
    <author>tc={58CB5DE5-789E-1846-90C3-FEF984B8E073}</author>
    <author>tc={D6DCF7AE-408A-2A40-ADAD-392333A855F7}</author>
    <author>tc={08853AB0-9160-1F4F-BA14-929005D1D887}</author>
    <author>tc={8E6E054A-21A3-0B47-B943-36BE5AF09E90}</author>
    <author>tc={B975861C-331D-FC42-95DD-D4E82A607046}</author>
    <author>tc={26EF15D1-AF26-364F-BAF7-EC962AB0D94C}</author>
    <author>tc={BDBFC5A5-4DD2-534C-AA69-F5B0E4AB4037}</author>
    <author>tc={13231545-10DE-0E4D-B07F-2526796DBCBE}</author>
    <author>tc={ECDA0FAC-1A3C-6B4A-A1E2-E2AFC0774F94}</author>
    <author>tc={F4874728-AA51-D542-9A8D-10CB6DAEBFF0}</author>
    <author>tc={139F319F-94F1-7049-8986-469B1E0AAE41}</author>
    <author>tc={D64661E0-7965-1240-B8AA-91CFECD409FB}</author>
    <author>tc={8B9AB2FE-B1CA-A142-AE29-7017A47C731E}</author>
    <author>tc={CC1E9D55-9626-6F4E-BA07-DDDDB10B54AA}</author>
    <author>tc={46C906F3-B57A-A64F-9B6C-D3F6271B68D0}</author>
    <author>tc={11B7B0A2-232D-9A47-A049-F27C7F15AC37}</author>
    <author>tc={F38BCA21-40F1-D647-8228-3EAA2DAB67F6}</author>
    <author>tc={4685C832-095E-0C47-A470-EC8FEB689D04}</author>
    <author>tc={4B3D0631-81BC-7449-A35B-823E948E449C}</author>
    <author>tc={CFEDF2E9-412D-FD49-93FA-3CF68D442544}</author>
    <author>tc={488C557A-FEB3-AC46-937F-18AD30845909}</author>
    <author>tc={B4702EC8-82C0-EC40-A754-5395CD35059D}</author>
    <author>tc={5CFE7B5C-D3A2-AD46-8369-A37B6C79DEFA}</author>
    <author>tc={DAB37AA4-424D-D341-B279-08FC7A8779AF}</author>
    <author>tc={9BD19224-8D30-1A46-B69C-37F0F1B6329B}</author>
    <author>tc={0B973565-AB2F-E84A-B55D-7098C6D324CD}</author>
    <author>tc={99322AC2-C39C-C147-8F76-82BEF68C375C}</author>
    <author>tc={EEF55157-C5F1-4C4A-B6BC-86C3DFA3B576}</author>
    <author>tc={0C758799-3E6F-D04C-9D93-C78FD3EAFD6B}</author>
    <author>tc={C9E0AD7F-8F5E-7549-BACC-9F3A8DFB81D3}</author>
    <author>tc={B12CF2C2-425A-5241-B0B8-B4C0C2EC34F6}</author>
    <author>tc={1916F392-AC59-3B48-ACC5-59E5B28B450C}</author>
    <author>tc={F57EC2AB-33A1-4A40-A411-37E97655773D}</author>
    <author>tc={AC52A79D-7066-AF48-89E5-E110DF890BDB}</author>
    <author>tc={0DFE40C7-6D7E-8343-AAA8-FD5C75A78902}</author>
    <author>tc={FB050D24-8BF0-8C40-9D63-BB9EFBCE9DDE}</author>
    <author>tc={11904916-61B4-7345-AFB8-0AA2AA9B8484}</author>
    <author>tc={67865497-F996-0545-B54B-500F4D5F1837}</author>
    <author>tc={E4125F4E-FD0B-2B4F-B623-37335EC7925D}</author>
    <author>tc={435BB75A-CC92-B740-A48C-03E5EF7B90BA}</author>
    <author>tc={E5BF11CF-A7BB-3544-8B9C-C2BD39D96929}</author>
    <author>tc={613252AE-631F-BD46-A763-E92BFD8E07AB}</author>
    <author>tc={8F037353-22DA-2F44-ABDA-6D2A7F580611}</author>
    <author>tc={BF44EB74-119C-914C-A84A-D0900109C3ED}</author>
    <author>tc={FBE0E7B1-FC9A-804E-8312-235A90CE86B4}</author>
    <author>tc={57B19EEC-90D7-EA48-9C65-249889C4EEA9}</author>
    <author>tc={7CDA7DE2-7E00-7A44-B201-1ED76B44B016}</author>
    <author>tc={9CD67C76-2697-E741-9DAB-BC70221013EC}</author>
    <author>tc={FE001245-6E5A-5A49-9092-ACF717A7E06A}</author>
    <author>tc={70F1F739-2152-FE43-BF42-2E3B3E2EEB8A}</author>
    <author>tc={0E7C818C-A490-A348-B3DC-60C5703F9A50}</author>
    <author>tc={454A69AA-9915-194C-8D39-1DCA17898FD7}</author>
    <author>tc={AE74957E-CFD4-244A-9BF5-52A177BBBF6E}</author>
    <author>tc={7E5523F2-9BB0-EA4A-B07F-0F79794FD065}</author>
    <author>tc={435C4E2C-492C-6B46-8F0B-C8980FF9C180}</author>
    <author>tc={042D4729-1A46-4743-BCBF-B6F28E96ABDF}</author>
    <author>tc={3687D2ED-0B79-6F49-A1BF-97D798EAF30A}</author>
    <author>tc={39727037-AF97-5E40-8B67-3F5783CD7995}</author>
    <author>tc={32D80B4B-F860-7E48-B737-6EDC0BCF98A1}</author>
    <author>tc={CEAD7E1A-8F5A-8740-A394-C5BE3063FE86}</author>
    <author>tc={A564282F-2811-784F-B3A9-95E4CAE1CAFB}</author>
    <author>tc={4302A53C-E06F-5F40-9B62-7D068F40983B}</author>
    <author>tc={B24BB8CA-5936-B24F-93F7-57EB073B8599}</author>
    <author>tc={42398CF2-8030-0645-A179-A530DC8E568C}</author>
    <author>tc={8FA8E6AB-CB40-9242-8604-E167D1261FC0}</author>
    <author>tc={6DADC38E-11EC-AF4A-B280-80806FAE3072}</author>
    <author>tc={DC2E253E-2BB3-D84D-B01F-74E497BAF51F}</author>
    <author>tc={FB2B1FB5-70AD-BB4C-B5A4-2FA63EA8F2F5}</author>
    <author>tc={F7AB7E96-7149-BB45-BFE0-2B9320D699CD}</author>
    <author>tc={9E2C0A02-37E7-B547-8C1A-896A6225F64E}</author>
    <author>tc={46E9C642-524F-E944-BE42-EAED8A085814}</author>
    <author>tc={59EB02C4-4A2C-A646-8ABF-1BF9D2BE0AF7}</author>
    <author>tc={F02ECAE9-6F9C-D44D-B0E3-CC174827FC31}</author>
    <author>tc={32863C62-231F-B64C-8CB7-006DEEEF1B3B}</author>
    <author>tc={15E5D051-9873-0640-A4A7-7D9CDFB19577}</author>
    <author>tc={BD4DFE10-E3A1-2C4D-AC66-EB05F64A24AA}</author>
    <author>tc={E9B79EED-1C2F-3047-ABBD-B10A95942A31}</author>
    <author>tc={01A7BA70-CC4F-FE46-B186-71DD7724D91B}</author>
    <author>tc={085EA657-693B-134D-AA5A-F4CAB94F23D8}</author>
    <author>tc={D22D7411-F52A-C54E-92A6-464FF0573132}</author>
    <author>tc={CC3D62BE-5F95-D348-ABE0-659B7E0F5223}</author>
    <author>tc={12304AB7-18C4-F340-B200-F47D8D1DC133}</author>
    <author>tc={AA88B9A6-C4BD-5144-A700-896ED3B140A1}</author>
    <author>tc={74BF93DD-0DB4-A748-80F1-07C2F7F282E0}</author>
    <author>tc={1C6A33D1-A56C-FE41-8889-1659F42F3F51}</author>
    <author>tc={8433215B-7957-CB47-845D-97CB666CC299}</author>
    <author>tc={79C4620D-ACBB-D541-969D-D68421D929B0}</author>
    <author>tc={B3FD9E9B-7C6C-614E-8A21-233EC5CA1D8E}</author>
    <author>tc={C4A96CFA-1C9C-3342-8C50-CE8FFBC7662E}</author>
    <author>tc={4F68F4BC-4FB3-C948-8EB9-99A8E3B86067}</author>
    <author>tc={A39A6085-4DE6-0C44-B318-642C1DDDAE52}</author>
    <author>tc={EAC6C8D6-3673-A84E-92FD-04E6C0C0A37D}</author>
    <author>tc={AB78A0CB-D098-9D49-BD29-45AE997C2F0B}</author>
    <author>tc={08A8D1C7-D760-0C44-A8CD-3014A84C4535}</author>
    <author>tc={924D2BBE-177B-7E49-8DEC-E4CE27520AE0}</author>
    <author>tc={901F5C63-4B7A-1544-BE41-C3197AA526F2}</author>
    <author>tc={019F9ADD-9011-DB40-832C-FC899EADE09E}</author>
    <author>tc={62A904BC-0998-E947-8D19-3DD549EE2E60}</author>
    <author>tc={563ABAF1-F128-624D-BE61-9F242FA2F790}</author>
    <author>tc={31B8F70D-F6A1-B74F-BDD6-E742C50A842B}</author>
    <author>tc={1ABCAF6A-7B56-1F40-A2B3-13F32B07724F}</author>
    <author>tc={4522D2DF-FAF7-FD44-ACD5-FAB742C76A66}</author>
    <author>tc={AE125BE0-66BC-5649-96E0-C81E592BD7B1}</author>
    <author>tc={6509C3B7-6D7F-A242-A347-8F356BEA0C90}</author>
    <author>tc={D6BD8344-2095-B845-A69D-3BEF585C7EC3}</author>
    <author>tc={FCB55328-7E75-9B44-8E11-554B3CBE21D1}</author>
    <author>tc={81C366ED-5144-F54E-ABE1-EED4EFEF9B35}</author>
    <author>tc={91E401F3-AC4F-DC48-AD13-C01F7FAC34D8}</author>
    <author>tc={6F1857FE-FEF2-DD49-8CCA-100D2BD040F6}</author>
    <author>tc={B8D1EBF8-0381-B646-AB73-7FEBDFA5667C}</author>
    <author>tc={82FB9E05-8ABB-8441-8242-3F1FF492114E}</author>
    <author>tc={A44223ED-FB76-DA4E-BE16-7906A8677DD0}</author>
    <author>tc={CB08A511-5530-A349-82E8-DB9218E023F0}</author>
    <author>tc={CA8FCF36-2A54-B140-AD14-948BAF43870A}</author>
    <author>tc={852226C3-DF77-9840-BCF7-62121A79AD1E}</author>
    <author>tc={63F52B9B-C2EB-874E-B201-BAD7F67B3F45}</author>
    <author>tc={012F6191-CC13-EA45-BA29-ACC075C25A96}</author>
    <author>tc={07EF6897-4FA0-CE44-9000-5D5216DDEBFC}</author>
    <author>tc={DADEDBC3-DC9F-7749-814D-52186FC59560}</author>
    <author>tc={10DA8380-061B-5B4C-B458-337E8C5700E3}</author>
    <author>tc={BEBFF5D9-EF44-CF4E-AE57-96B4A6730258}</author>
    <author>tc={FEE39AC1-D0FE-374F-8CBC-D0101E1BC22D}</author>
    <author>tc={79E224A4-2E8C-7645-A170-A8A99E6DCF85}</author>
    <author>tc={E4CB9F54-8C1B-6E43-B0C9-7E63E9630058}</author>
    <author>tc={8E609065-106E-5148-8A00-989DD125E8F5}</author>
    <author>tc={A3ED9E18-ADA9-CF45-8C3D-AA010A8250D2}</author>
    <author>tc={7BCE77C5-2C5F-994E-8556-DED733AC5CF9}</author>
    <author>tc={E0DFDF51-131F-1D46-B624-3731A6D135A3}</author>
    <author>tc={FB2E6514-A7A6-514C-BFC9-9DA561149E47}</author>
    <author>tc={67E88DD2-0652-D646-98F1-28F99EC64DAB}</author>
    <author>tc={1BB66412-25E5-214A-BC7B-4FE130191ABC}</author>
    <author>tc={ADF217BB-F34C-AB4A-A26D-A6A501EEBC46}</author>
    <author>tc={F67D2A38-4ADB-384D-8B28-9A71E1E94B8A}</author>
    <author>tc={960C3429-7C25-7042-AB23-18AC283760EC}</author>
    <author>tc={C3E4DD95-EEF8-834C-9A83-9251B3309C6A}</author>
    <author>tc={621C8036-0A87-374F-A373-1EE13AB9DF2C}</author>
    <author>tc={DDA839C0-F72E-8F49-A691-BF23B4239EB6}</author>
    <author>tc={474B5E2F-787F-2A42-9319-9258327751D7}</author>
    <author>tc={0C4F781A-E9FD-9A43-A5D8-640BFEDB626A}</author>
    <author>tc={95D364CF-A7C7-7C4B-B412-BEC1BD332FB0}</author>
    <author>tc={7514C844-5ED2-EE42-9536-6CFF21C40DD3}</author>
    <author>tc={9238E96C-7B4B-584D-908A-10F627DC455F}</author>
    <author>tc={630B275F-E233-CE4C-AF57-04DEBF300345}</author>
    <author>tc={479E0AC4-ED45-B449-A994-583697327C6F}</author>
    <author>tc={A77F961A-D453-9C40-841A-FE11C30BE6BE}</author>
    <author>tc={8B1004AE-F177-6647-B912-A2926627955D}</author>
    <author>tc={ECC4A536-9E8F-5A43-8439-29E1B588227C}</author>
    <author>tc={A4D173F1-B9A8-5C49-B6BA-56418F9630EF}</author>
    <author>tc={4AEEF358-F08E-E54C-B00A-24F27C5E3942}</author>
    <author>tc={07D9EE1D-F3A6-4943-9217-D1539B0AF0D5}</author>
    <author>tc={D83F28C6-F03E-9B41-AEDF-D9094669CE5C}</author>
    <author>tc={9C7E6A0D-9CAD-AF4E-9465-1272ED51C8DF}</author>
    <author>tc={919BB0FA-9614-C246-9278-FD702A6C7923}</author>
    <author>tc={ECA6A48B-52CD-5945-ABA7-AC7ECDE95F63}</author>
    <author>tc={4D392D32-5585-2E48-856C-B6B1EE70167A}</author>
    <author>tc={FDB12740-3088-1A46-8FD1-BB3838986624}</author>
    <author>tc={4C72521E-0672-A247-BF0B-BF825A501E6D}</author>
    <author>tc={227FF33B-A222-F34A-B5E6-875CE9B45566}</author>
    <author>tc={8910EED1-98F1-0B47-A724-0E078C142A68}</author>
    <author>tc={1B283A24-3EA5-9044-80AF-D1833955C6D8}</author>
    <author>tc={7AE7C137-4CB7-B646-962E-F2F5BEC16B79}</author>
    <author>tc={2784D00D-ADEB-E94A-9A0D-9185495C2495}</author>
    <author>tc={1229A232-6970-CC4F-B726-1B3B0C11DCC3}</author>
    <author>tc={50A08660-DE60-E04F-A378-7357D616D648}</author>
    <author>tc={048ED3E1-0157-0E41-871A-1FD0C480EFA8}</author>
    <author>tc={5CD9C919-BA5A-774D-8D26-26EF1F227965}</author>
    <author>tc={BCDEC936-213E-B043-863B-43CCF532C459}</author>
    <author>tc={8364839E-BB90-B646-9071-9F28CE4FD10E}</author>
    <author>tc={AC86BAFF-4E98-D544-B314-1DDD52802B0A}</author>
    <author>tc={8D9F0C5E-A17D-3B47-8A4B-E25F60390BBC}</author>
    <author>tc={EE485350-0597-8445-B312-3E897285C14E}</author>
    <author>tc={8695024D-AD39-CB41-B642-3A08F559107A}</author>
    <author>tc={E5DBCC20-222E-AB43-BE11-F6743726D699}</author>
    <author>tc={0CBA257B-A9AF-0244-BCA2-9CB0334E76F2}</author>
    <author>tc={16EF845D-92E4-2148-9A0C-ADD88AE65A25}</author>
    <author>tc={7D6925CE-A004-AF4F-A321-978B7DC95DBA}</author>
    <author>tc={1658A747-25AE-EC4F-A507-CC1E77F885BB}</author>
    <author>tc={A004BC19-B043-FB47-95B1-5F582166DC5A}</author>
    <author>tc={7E6B8A11-B1C6-534F-A4B2-BA7308ECF001}</author>
    <author>tc={08A61B81-FC35-7E44-8214-7C449E5D026A}</author>
    <author>tc={FE1767E3-DABA-BC44-A5EA-35B293F6DE18}</author>
    <author>tc={923FF003-2B77-544D-A228-B1FC19AA0444}</author>
    <author>tc={6A0BB402-BCD2-C94F-8095-CDF3D3368FBE}</author>
    <author>tc={14BA07B4-5993-364A-A001-DF20BC59BA68}</author>
    <author>tc={852DBB69-644F-9A41-845E-36C04AD55D9A}</author>
    <author>tc={D9214D23-2625-524C-9A07-39B1ED58A18F}</author>
    <author>tc={C8E5285B-640A-5C42-92F7-117EDCEDBE02}</author>
    <author>tc={B4B714A1-47A5-8646-9BF7-335CC873929D}</author>
    <author>tc={4515EA3A-05B5-644B-B53D-10FDC1D3E388}</author>
    <author>tc={116FF4DE-5483-A542-8985-D7B5364BF3BA}</author>
    <author>tc={4373D828-E8A3-A443-A93B-DA7EF87D23D4}</author>
    <author>tc={C4C8C714-4DA9-F243-A91F-5F98A5C29DA0}</author>
    <author>tc={3CAD7379-3E73-F349-B2CA-130F3C7D04E4}</author>
    <author>tc={AFBF8894-2AAA-6B41-BEE4-8E0A0D9E68AE}</author>
    <author>tc={59D9E75A-2089-0C47-B241-0B0C5C604491}</author>
    <author>tc={896F36EF-DEA1-704A-9929-28BC7A76FEE0}</author>
    <author>tc={08EF4940-1070-3F43-83AE-FF457A78C124}</author>
    <author>tc={0155A632-0271-B445-A2D7-9F1D855AAA51}</author>
    <author>tc={C332F45F-66C7-B348-8D1E-13570A3E0B33}</author>
    <author>tc={55623D5E-50AB-B648-A6D0-4B3FA1567B19}</author>
    <author>tc={A832BFDB-1701-0249-B587-F5ACC4AA2B48}</author>
    <author>tc={1F533665-DA0C-0649-9C56-16E75E603698}</author>
    <author>tc={9DE556FE-E483-FE4C-A64C-60678A4BC6E5}</author>
    <author>tc={1D6B5016-C19E-244C-91DC-7A30A098D5B6}</author>
    <author>tc={0F106F2B-06E9-6443-93AA-49DD575BC062}</author>
    <author>tc={4901B82B-4F58-7742-85CF-3D3BCB58CF8B}</author>
    <author>tc={AC4D95EC-AFD4-244C-8C25-C5E6A5B81F2E}</author>
    <author>tc={CB620B2E-882F-CC47-AB5D-E763AD2E49B1}</author>
    <author>tc={F8451F3A-745A-E74B-9845-AF2FB5008EB4}</author>
    <author>tc={D4D78C69-EA9D-6A40-9DDC-9649F37D5AEF}</author>
    <author>tc={47279F50-3569-5A44-AE67-F51730473C04}</author>
    <author>tc={AFB7784A-62DA-4B4B-AA79-3DB83AB3A14F}</author>
    <author>tc={61DD35BD-36B7-D54C-B1F0-A11C325797C4}</author>
    <author>tc={DDAABBE4-A84F-6043-B916-640E48723086}</author>
    <author>tc={50045D68-9DFA-CE4B-8636-F4E43E0E0D42}</author>
    <author>tc={AACA2DF2-B138-8C4A-A07E-55AE5DE19315}</author>
    <author>tc={DDA0440C-49C0-6B44-9C9E-4B2CB3A0721B}</author>
    <author>tc={5387EABB-0032-9F46-A82B-BCADFA3E12C8}</author>
    <author>tc={B7DDF79E-B6DE-2A42-B0E1-0DAA59D7C433}</author>
    <author>tc={222FFD2D-22B3-2D49-A9AB-DD499B21845D}</author>
    <author>tc={80C71CBE-3CDF-0E4F-B18B-89CC1560AB2A}</author>
    <author>tc={FCB727D3-0B0F-5F41-9DB5-847F7DBBE3A4}</author>
    <author>tc={77D7AFAB-3CAA-4840-BE33-0EEBD60FA4EE}</author>
    <author>tc={B4471FC0-0EED-E048-9014-3BFDEA52CA03}</author>
    <author>tc={0ECDB18E-1B42-0B45-93D9-6E7237B647A7}</author>
    <author>tc={22354236-5438-5348-AE15-0A631D39B22A}</author>
    <author>tc={C8469ACE-FBD1-E844-9D84-16430E0DAED5}</author>
    <author>tc={995FED5C-A057-2140-BA88-1DC03A397A0B}</author>
    <author>tc={F2FD2BF7-547B-B046-946B-5F34119A26EE}</author>
    <author>tc={DB70E99D-6A8E-8D46-91D2-EBA7709505A1}</author>
    <author>tc={C84221A2-402B-964C-8B5D-9360A5576713}</author>
    <author>tc={B23FF2A9-1BF1-C44F-8791-4E2D38014DCA}</author>
    <author>tc={48867C5C-1E92-8D46-BFA1-120DA7B9FE92}</author>
    <author>tc={75A32B34-A219-0044-B7E6-B7D836FA90B3}</author>
    <author>tc={BD16C7CB-F532-5645-8ACC-6E7D91C5EC8C}</author>
    <author>tc={672E6FE5-82C9-F944-A6F0-19B4FF4300E0}</author>
    <author>tc={09961102-F4EF-F440-B5B8-E39F98774D26}</author>
    <author>tc={98CFE0FE-6C05-8F49-8A97-4F271977AA2C}</author>
    <author>tc={2EBB14E8-4D55-0543-9DF1-72DE5335C6DD}</author>
    <author>tc={EE56EDFC-5135-4942-96C6-BF76452A979C}</author>
    <author>tc={DAB10606-27DA-C842-9204-60F230A20333}</author>
    <author>tc={500A441F-8AFF-3F4A-AA2D-C40CB0D84DB5}</author>
    <author>tc={6F596B05-356E-1D48-8EFC-C557D817B2C4}</author>
    <author>tc={70F0228F-9F2F-334E-9682-33B277049166}</author>
    <author>tc={EA97F70D-0D15-C14C-98A0-17D260A89F5B}</author>
    <author>tc={DE99E7B2-DDAA-EB40-845A-5822532BD8DC}</author>
    <author>tc={76493158-6352-064E-B4B7-EEB9359058B1}</author>
    <author>tc={5626DE2B-CC0A-3344-BB17-5863A0F373A7}</author>
    <author>tc={166B2133-727F-6D41-8354-44E23E0BBE66}</author>
    <author>tc={6F9ADB96-51E4-8E49-A335-306698E6CC7A}</author>
    <author>tc={C64888F5-02AA-8D4B-AC20-C84A74554138}</author>
    <author>tc={62382771-59CB-CE44-8425-03ED98EAB289}</author>
    <author>tc={1C165130-E200-B748-BBD0-4DB5F3859FE1}</author>
    <author>tc={C9021EC5-B6F3-DA44-AEF2-1CBD1C8BF325}</author>
  </authors>
  <commentList>
    <comment ref="E1" authorId="0" shapeId="0" xr:uid="{33287CC0-FFC9-2D4F-B763-D8C2AF3715BA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data + healthy preseason (VISA-P above 80, no PT tenderness); potential also with no JUMPHX, but part of the issue is it fluctuates</t>
      </text>
    </comment>
    <comment ref="K1" authorId="1" shapeId="0" xr:uid="{F2DF1F68-6DFB-0241-A21F-42CCD7634E24}">
      <text>
        <t>[Threaded comment]
Your version of Excel allows you to read this threaded comment; however, any edits to it will get removed if the file is opened in a newer version of Excel. Learn more: https://go.microsoft.com/fwlink/?linkid=870924
Comment:
    Age at preseason</t>
      </text>
    </comment>
    <comment ref="L1" authorId="2" shapeId="0" xr:uid="{BC3E5D85-62D6-C24D-8E75-6AC6BB9F55E0}">
      <text>
        <t>[Threaded comment]
Your version of Excel allows you to read this threaded comment; however, any edits to it will get removed if the file is opened in a newer version of Excel. Learn more: https://go.microsoft.com/fwlink/?linkid=870924
Comment:
    G = 1, F = 2</t>
      </text>
    </comment>
    <comment ref="R1" authorId="3" shapeId="0" xr:uid="{EA7FE308-9762-954C-9792-8D56B6CE4395}">
      <text>
        <t>[Threaded comment]
Your version of Excel allows you to read this threaded comment; however, any edits to it will get removed if the file is opened in a newer version of Excel. Learn more: https://go.microsoft.com/fwlink/?linkid=870924
Comment:
    Lot of players unsure; may not be great data</t>
      </text>
    </comment>
    <comment ref="AU1" authorId="4" shapeId="0" xr:uid="{DD0E4D2C-2033-8644-9E50-F5F9D21D54F0}">
      <text>
        <t>[Threaded comment]
Your version of Excel allows you to read this threaded comment; however, any edits to it will get removed if the file is opened in a newer version of Excel. Learn more: https://go.microsoft.com/fwlink/?linkid=870924
Comment:
    Trip to training room</t>
      </text>
    </comment>
    <comment ref="AW1" authorId="5" shapeId="0" xr:uid="{833FB22C-847F-3044-8219-13E1DDAB7CAE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thickness &gt;11.45mm</t>
      </text>
    </comment>
    <comment ref="AX1" authorId="6" shapeId="0" xr:uid="{295B06A1-88AD-EF42-948F-D9646B0E3AD6}">
      <text>
        <t>[Threaded comment]
Your version of Excel allows you to read this threaded comment; however, any edits to it will get removed if the file is opened in a newer version of Excel. Learn more: https://go.microsoft.com/fwlink/?linkid=870924
Comment:
    VISA-P &lt;80 at either mid or post season</t>
      </text>
    </comment>
    <comment ref="AY1" authorId="7" shapeId="0" xr:uid="{6E873E32-F054-CA40-9A97-050E1AA64D12}">
      <text>
        <t>[Threaded comment]
Your version of Excel allows you to read this threaded comment; however, any edits to it will get removed if the file is opened in a newer version of Excel. Learn more: https://go.microsoft.com/fwlink/?linkid=870924
Comment:
    VISA-P &lt;70 at either mid or post season</t>
      </text>
    </comment>
    <comment ref="BC1" authorId="8" shapeId="0" xr:uid="{DE7F87F5-BB86-2247-8800-CA65A54202F2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 at mid or postseason US</t>
      </text>
    </comment>
    <comment ref="S2" authorId="9" shapeId="0" xr:uid="{51AFD971-1AB2-1F48-9C6F-8C2ADF1F7A89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symptoms same from Midseason; write same info</t>
      </text>
    </comment>
    <comment ref="AQ4" authorId="10" shapeId="0" xr:uid="{0C8720D0-1BB3-3940-BFBD-465EFB30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P5" authorId="11" shapeId="0" xr:uid="{C9C0BB1E-46D4-C24D-83B2-964C348C4E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PRP 2 months prior</t>
      </text>
    </comment>
    <comment ref="AP5" authorId="12" shapeId="0" xr:uid="{6984252E-BA95-6943-8641-BD15C832CB4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AQ5" authorId="13" shapeId="0" xr:uid="{D10C4563-9F5E-BA45-A78D-BEED974EFBC8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AH6" authorId="14" shapeId="0" xr:uid="{4589FE65-6242-1440-8327-416AE26354B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
Reply:
    HE region</t>
      </text>
    </comment>
    <comment ref="AP6" authorId="15" shapeId="0" xr:uid="{F3D42037-F1D2-8C45-A856-F2154C2B76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X7" authorId="16" shapeId="0" xr:uid="{C9FD0144-DF83-0A44-8EE3-D2BA810E2B7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D7" authorId="17" shapeId="0" xr:uid="{EBE4A3D9-3969-AF4B-96F4-4B6F36DB4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F7" authorId="18" shapeId="0" xr:uid="{30791569-6FA9-4242-AEB1-B9882218688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AP8" authorId="19" shapeId="0" xr:uid="{57075C56-0765-3E45-B82E-81D83A68FA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Q8" authorId="20" shapeId="0" xr:uid="{82EC0962-DCEA-4E4F-8118-699268A0DA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P9" authorId="21" shapeId="0" xr:uid="{D650C1BB-A096-264D-9507-75893D51719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P10" authorId="22" shapeId="0" xr:uid="{AF3E033B-A6B4-9A4A-846D-56E518D75277}">
      <text>
        <t>[Threaded comment]
Your version of Excel allows you to read this threaded comment; however, any edits to it will get removed if the file is opened in a newer version of Excel. Learn more: https://go.microsoft.com/fwlink/?linkid=870924
Comment:
    R knee jumper’s knee hx; physical therapy only; no injection/surgery</t>
      </text>
    </comment>
    <comment ref="X13" authorId="23" shapeId="0" xr:uid="{5AAC4A09-9CA2-E245-B6C6-D3D9E72B31A3}">
      <text>
        <t>[Threaded comment]
Your version of Excel allows you to read this threaded comment; however, any edits to it will get removed if the file is opened in a newer version of Excel. Learn more: https://go.microsoft.com/fwlink/?linkid=870924
Comment:
    Edema posterior to tendon? vs large PPTT</t>
      </text>
    </comment>
    <comment ref="BD13" authorId="24" shapeId="0" xr:uid="{4C0F914F-63FB-0140-8F1D-0FB0B27E8551}">
      <text>
        <t>[Threaded comment]
Your version of Excel allows you to read this threaded comment; however, any edits to it will get removed if the file is opened in a newer version of Excel. Learn more: https://go.microsoft.com/fwlink/?linkid=870924
Comment:
    Edema posterior to tendon? vs large PPTT</t>
      </text>
    </comment>
    <comment ref="BF13" authorId="25" shapeId="0" xr:uid="{ED92247C-84A4-4042-8617-08EC4F655CA5}">
      <text>
        <t>[Threaded comment]
Your version of Excel allows you to read this threaded comment; however, any edits to it will get removed if the file is opened in a newer version of Excel. Learn more: https://go.microsoft.com/fwlink/?linkid=870924
Comment:
    Edema posterior to tendon? vs large PPTT</t>
      </text>
    </comment>
    <comment ref="AG14" authorId="26" shapeId="0" xr:uid="{60CDB450-C7E5-D246-81AF-D5BDCC97635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14" authorId="27" shapeId="0" xr:uid="{CB601405-B684-5042-AF62-E8ADBFD15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14" authorId="28" shapeId="0" xr:uid="{AB0EDA5E-F615-6540-8E3F-B0063568BB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AQ14" authorId="29" shapeId="0" xr:uid="{265837DE-FC2A-1848-9F18-2447D9A4B3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AE15" authorId="30" shapeId="0" xr:uid="{8B76B45C-1F30-6C42-9762-3CF366F1DFE8}">
      <text>
        <t>[Threaded comment]
Your version of Excel allows you to read this threaded comment; however, any edits to it will get removed if the file is opened in a newer version of Excel. Learn more: https://go.microsoft.com/fwlink/?linkid=870924
Comment:
    Slightly enlarged TT since preseason per player history</t>
      </text>
    </comment>
    <comment ref="Q16" authorId="31" shapeId="0" xr:uid="{D209EE1B-0550-164A-8079-CEAE374AB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 knee arthroscopy for meniscus</t>
      </text>
    </comment>
    <comment ref="X17" authorId="32" shapeId="0" xr:uid="{80867CEA-CD1E-5E4F-9F8E-0162573ECD0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 Hypoechoic region within tendon
Reply:
    Mild focal HE region</t>
      </text>
    </comment>
    <comment ref="Y17" authorId="33" shapeId="0" xr:uid="{F97DA836-9F0D-564D-88E7-4ECE0C043F2F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focal HE region</t>
      </text>
    </comment>
    <comment ref="AP17" authorId="34" shapeId="0" xr:uid="{036F0DDA-D82B-C04A-8CFE-28B9D449175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7" authorId="35" shapeId="0" xr:uid="{B88C4C0A-73B5-D141-ADCC-AD04E25DF99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 Hypoechoic region within tendon
Reply:
    Mild focal HE region</t>
      </text>
    </comment>
    <comment ref="BF17" authorId="36" shapeId="0" xr:uid="{406A1C58-9FD0-8B49-8290-4F25E8D3BFB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 Hypoechoic region within tendon
Reply:
    Mild focal HE region</t>
      </text>
    </comment>
    <comment ref="BG17" authorId="37" shapeId="0" xr:uid="{360CF912-801D-FD43-B25C-1D7F5564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focal HE region</t>
      </text>
    </comment>
    <comment ref="AP18" authorId="38" shapeId="0" xr:uid="{BDD1171A-BD81-A64F-BD3E-44D5B710FFE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AQ18" authorId="39" shapeId="0" xr:uid="{492507F7-AD7B-5946-B011-153581B4AAF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A20" authorId="40" shapeId="0" xr:uid="{9CF1D786-ACF3-B64B-AD49-87A11E99ECB5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</t>
      </text>
    </comment>
    <comment ref="Q20" authorId="41" shapeId="0" xr:uid="{5D1CCA93-2C8C-E04C-AE6C-62E857CEEFFC}">
      <text>
        <t>[Threaded comment]
Your version of Excel allows you to read this threaded comment; however, any edits to it will get removed if the file is opened in a newer version of Excel. Learn more: https://go.microsoft.com/fwlink/?linkid=870924
Comment:
    2x R PT debridement</t>
      </text>
    </comment>
    <comment ref="A21" authorId="42" shapeId="0" xr:uid="{809D4A08-4DBC-334E-8421-13F83966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Exclude</t>
      </text>
    </comment>
    <comment ref="Q21" authorId="43" shapeId="0" xr:uid="{D9D8A596-4C02-5143-8D88-25766B67A592}">
      <text>
        <t>[Threaded comment]
Your version of Excel allows you to read this threaded comment; however, any edits to it will get removed if the file is opened in a newer version of Excel. Learn more: https://go.microsoft.com/fwlink/?linkid=870924
Comment:
    1x L PT debridement</t>
      </text>
    </comment>
    <comment ref="R22" authorId="44" shapeId="0" xr:uid="{C7B8ADC8-49F9-0747-ABB6-89EB7AA927D9}">
      <text>
        <t>[Threaded comment]
Your version of Excel allows you to read this threaded comment; however, any edits to it will get removed if the file is opened in a newer version of Excel. Learn more: https://go.microsoft.com/fwlink/?linkid=870924
Comment:
    Bilateral enlarged TT on exam</t>
      </text>
    </comment>
    <comment ref="R23" authorId="45" shapeId="0" xr:uid="{62E2EE7B-BCC8-2A4F-8C5B-8A2870FC532D}">
      <text>
        <t>[Threaded comment]
Your version of Excel allows you to read this threaded comment; however, any edits to it will get removed if the file is opened in a newer version of Excel. Learn more: https://go.microsoft.com/fwlink/?linkid=870924
Comment:
    Bilateral enlarged TT on exam</t>
      </text>
    </comment>
    <comment ref="AP23" authorId="46" shapeId="0" xr:uid="{E96B8075-0312-5048-9915-FAF6A10C0E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AQ23" authorId="47" shapeId="0" xr:uid="{3B29117A-89DE-BE44-AE99-385779D33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R26" authorId="48" shapeId="0" xr:uid="{8715E06B-1E0E-D642-A54F-86399AF2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Ultrasound confirmed bilateral</t>
      </text>
    </comment>
    <comment ref="AG26" authorId="49" shapeId="0" xr:uid="{B656A6BE-E949-F04A-BD31-B76AA023C70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AH26" authorId="50" shapeId="0" xr:uid="{984E6DA0-680B-8743-8B26-D39AE0A8D16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AP26" authorId="51" shapeId="0" xr:uid="{838B7EA4-2191-C148-ABCB-825825DF9218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Q26" authorId="52" shapeId="0" xr:uid="{49AE0A69-79A5-6D46-82BD-79C1C963ED31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26" authorId="53" shapeId="0" xr:uid="{9235F350-72E3-C24C-8E94-F9EDA8DCF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F26" authorId="54" shapeId="0" xr:uid="{62327332-AD7F-184E-A6EB-AB8AE1BCA67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G26" authorId="55" shapeId="0" xr:uid="{28FF42AB-4184-6449-A02C-D00B7F66C9E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P27" authorId="56" shapeId="0" xr:uid="{616306BE-9DCD-614D-8F51-B02F2C7B0D49}">
      <text>
        <t>[Threaded comment]
Your version of Excel allows you to read this threaded comment; however, any edits to it will get removed if the file is opened in a newer version of Excel. Learn more: https://go.microsoft.com/fwlink/?linkid=870924
Comment:
    2 years ago; received 2x PRP</t>
      </text>
    </comment>
    <comment ref="R27" authorId="57" shapeId="0" xr:uid="{864AC60E-0AFC-E649-9908-646398ACAB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him “which knee” and examine</t>
      </text>
    </comment>
    <comment ref="AP27" authorId="58" shapeId="0" xr:uid="{53D448CA-8EB3-6E4B-9E49-1B946F46F63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likeley</t>
      </text>
    </comment>
    <comment ref="AQ27" authorId="59" shapeId="0" xr:uid="{6B703FFA-3870-F446-B45B-F177913E1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PPTT most likely </t>
      </text>
    </comment>
    <comment ref="BG27" authorId="60" shapeId="0" xr:uid="{F468A76C-621E-EE43-A87D-7816085F4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P28" authorId="61" shapeId="0" xr:uid="{4C8E98C4-DE62-C54E-B2D5-519FCBA4A950}">
      <text>
        <t>[Threaded comment]
Your version of Excel allows you to read this threaded comment; however, any edits to it will get removed if the file is opened in a newer version of Excel. Learn more: https://go.microsoft.com/fwlink/?linkid=870924
Comment:
    R knee jumper’s knee hx s/p PRP shots; no other treatment/no hx on L</t>
      </text>
    </comment>
    <comment ref="X28" authorId="62" shapeId="0" xr:uid="{D429D269-DAB0-0249-9F39-141D2C88724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Y28" authorId="63" shapeId="0" xr:uid="{62AA5BCE-C175-8444-9678-605D66FD1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AG28" authorId="64" shapeId="0" xr:uid="{2B4D851C-067F-E347-87EE-3E60A17BCC2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28" authorId="65" shapeId="0" xr:uid="{C341442A-0A09-3B45-99D2-ED99CEDDA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28" authorId="66" shapeId="0" xr:uid="{593FD04A-9E53-F64C-B2ED-75ACD684DFB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Y29" authorId="67" shapeId="0" xr:uid="{E380207E-4A9A-F34B-8468-11CE30BC27F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AG29" authorId="68" shapeId="0" xr:uid="{2980E637-1A11-9F43-9CDF-BDEA04FB581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29" authorId="69" shapeId="0" xr:uid="{C69AEDE4-AC3F-964A-8B4D-02B9CE81761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29" authorId="70" shapeId="0" xr:uid="{B7F2EE11-7D51-AB4F-9E1C-B240CBBA0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29" authorId="71" shapeId="0" xr:uid="{036E60B2-777C-FB42-BF86-162A489F6DB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0" authorId="72" shapeId="0" xr:uid="{9D9189AB-FE47-B846-8B76-FB8D782DC8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30" authorId="73" shapeId="0" xr:uid="{E4CE67F1-2B08-804D-BA0B-9053E559AEC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G30" authorId="74" shapeId="0" xr:uid="{6CCB8068-74E5-6145-8040-D01AF9F776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D31" authorId="75" shapeId="0" xr:uid="{95BDA3C3-0560-B84A-85DE-2D27E3073C4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31" authorId="76" shapeId="0" xr:uid="{9E2565FC-B7D9-1141-801F-DE65B45C4CC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G31" authorId="77" shapeId="0" xr:uid="{765E8F9C-526D-5C43-83A4-B50A2AFE7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R32" authorId="78" shapeId="0" xr:uid="{56818E6D-2D38-314A-ACD4-7B202FF9D3F6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Which?</t>
      </text>
    </comment>
    <comment ref="X32" authorId="79" shapeId="0" xr:uid="{0512382F-A990-F641-AFC8-B7C99DFEDF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Y32" authorId="80" shapeId="0" xr:uid="{BC11490C-E98D-3A42-9B75-724C72FD54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AE32" authorId="81" shapeId="0" xr:uid="{823B3450-B662-3347-BDC3-9BCE8E2357DE}">
      <text>
        <t>[Threaded comment]
Your version of Excel allows you to read this threaded comment; however, any edits to it will get removed if the file is opened in a newer version of Excel. Learn more: https://go.microsoft.com/fwlink/?linkid=870924
Comment:
    TT more painful than PP</t>
      </text>
    </comment>
    <comment ref="AG32" authorId="82" shapeId="0" xr:uid="{0D1515D9-E12E-744F-A5CC-C0F31E7070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HE noted</t>
      </text>
    </comment>
    <comment ref="AL32" authorId="83" shapeId="0" xr:uid="{7D297D51-6164-A642-9B78-EDE6E0E4A5EE}">
      <text>
        <t>[Threaded comment]
Your version of Excel allows you to read this threaded comment; however, any edits to it will get removed if the file is opened in a newer version of Excel. Learn more: https://go.microsoft.com/fwlink/?linkid=870924
Comment:
    Sprained ACL</t>
      </text>
    </comment>
    <comment ref="R33" authorId="84" shapeId="0" xr:uid="{7284381A-C789-9A42-93A4-6CA473116907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Which?</t>
      </text>
    </comment>
    <comment ref="X33" authorId="85" shapeId="0" xr:uid="{CC9BA30E-0210-E847-9CF1-EF2188148CE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Y33" authorId="86" shapeId="0" xr:uid="{5233A717-E015-5741-ADC5-D419110A5E7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AE33" authorId="87" shapeId="0" xr:uid="{7B9407C6-11F6-A14F-A178-FB15220695AD}">
      <text>
        <t>[Threaded comment]
Your version of Excel allows you to read this threaded comment; however, any edits to it will get removed if the file is opened in a newer version of Excel. Learn more: https://go.microsoft.com/fwlink/?linkid=870924
Comment:
    TT more painful than PP</t>
      </text>
    </comment>
    <comment ref="AG33" authorId="88" shapeId="0" xr:uid="{EF4771D5-AF34-B440-AC64-5A7CCC0F0B7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P33" authorId="89" shapeId="0" xr:uid="{AB0C0F7D-C9DD-7146-AC23-924A7915399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R34" authorId="90" shapeId="0" xr:uid="{8AECC717-3991-F24E-AC80-93AAA5325868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Evaluate L knee TT size next time</t>
      </text>
    </comment>
    <comment ref="AG34" authorId="91" shapeId="0" xr:uid="{58CB5DE5-789E-1846-90C3-FEF984B8E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34" authorId="92" shapeId="0" xr:uid="{D6DCF7AE-408A-2A40-ADAD-392333A855F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34" authorId="93" shapeId="0" xr:uid="{08853AB0-9160-1F4F-BA14-929005D1D887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AQ34" authorId="94" shapeId="0" xr:uid="{8E6E054A-21A3-0B47-B943-36BE5AF09E9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R35" authorId="95" shapeId="0" xr:uid="{B975861C-331D-FC42-95DD-D4E82A607046}">
      <text>
        <t>[Threaded comment]
Your version of Excel allows you to read this threaded comment; however, any edits to it will get removed if the file is opened in a newer version of Excel. Learn more: https://go.microsoft.com/fwlink/?linkid=870924
Comment:
    Evaluate L knee TT size next time</t>
      </text>
    </comment>
    <comment ref="AP35" authorId="96" shapeId="0" xr:uid="{26EF15D1-AF26-364F-BAF7-EC962AB0D94C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AQ35" authorId="97" shapeId="0" xr:uid="{BDBFC5A5-4DD2-534C-AA69-F5B0E4AB4037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36" authorId="98" shapeId="0" xr:uid="{13231545-10DE-0E4D-B07F-2526796DBCB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Mild/moderate PPTT/hypoechogenicity</t>
      </text>
    </comment>
    <comment ref="BF36" authorId="99" shapeId="0" xr:uid="{ECDA0FAC-1A3C-6B4A-A1E2-E2AFC0774F9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Mild/moderate PPTT/hypoechogenicity</t>
      </text>
    </comment>
    <comment ref="BD37" authorId="100" shapeId="0" xr:uid="{F4874728-AA51-D542-9A8D-10CB6DAEBFF0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BF37" authorId="101" shapeId="0" xr:uid="{139F319F-94F1-7049-8986-469B1E0AAE41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BG37" authorId="102" shapeId="0" xr:uid="{D64661E0-7965-1240-B8AA-91CFECD409FB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X38" authorId="103" shapeId="0" xr:uid="{8B9AB2FE-B1CA-A142-AE29-7017A47C731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Mild/moderate PPTT/hypoechogenicity</t>
      </text>
    </comment>
    <comment ref="AG38" authorId="104" shapeId="0" xr:uid="{CC1E9D55-9626-6F4E-BA07-DDDDB10B54A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38" authorId="105" shapeId="0" xr:uid="{46C906F3-B57A-A64F-9B6C-D3F6271B68D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38" authorId="106" shapeId="0" xr:uid="{11B7B0A2-232D-9A47-A049-F27C7F15AC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Q38" authorId="107" shapeId="0" xr:uid="{F38BCA21-40F1-D647-8228-3EAA2DAB67F6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Q39" authorId="108" shapeId="0" xr:uid="{4685C832-095E-0C47-A470-EC8FEB689D04}">
      <text>
        <t>[Threaded comment]
Your version of Excel allows you to read this threaded comment; however, any edits to it will get removed if the file is opened in a newer version of Excel. Learn more: https://go.microsoft.com/fwlink/?linkid=870924
Comment:
    L knee patellar tendon surgery</t>
      </text>
    </comment>
    <comment ref="X39" authorId="109" shapeId="0" xr:uid="{4B3D0631-81BC-7449-A35B-823E948E449C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Y39" authorId="110" shapeId="0" xr:uid="{CFEDF2E9-412D-FD49-93FA-3CF68D442544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AG39" authorId="111" shapeId="0" xr:uid="{488C557A-FEB3-AC46-937F-18AD30845909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AH39" authorId="112" shapeId="0" xr:uid="{B4702EC8-82C0-EC40-A754-5395CD35059D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X40" authorId="113" shapeId="0" xr:uid="{5CFE7B5C-D3A2-AD46-8369-A37B6C79DEFA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Y40" authorId="114" shapeId="0" xr:uid="{DAB37AA4-424D-D341-B279-08FC7A8779AF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Q41" authorId="115" shapeId="0" xr:uid="{9BD19224-8D30-1A46-B69C-37F0F1B6329B}">
      <text>
        <t>[Threaded comment]
Your version of Excel allows you to read this threaded comment; however, any edits to it will get removed if the file is opened in a newer version of Excel. Learn more: https://go.microsoft.com/fwlink/?linkid=870924
Comment:
    L knee ACL, meniscus, patellar tendon surgery</t>
      </text>
    </comment>
    <comment ref="X41" authorId="116" shapeId="0" xr:uid="{0B973565-AB2F-E84A-B55D-7098C6D324CD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</t>
      </text>
    </comment>
    <comment ref="AG41" authorId="117" shapeId="0" xr:uid="{99322AC2-C39C-C147-8F76-82BEF68C375C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surgery; clear sign of enlargement from preseason</t>
      </text>
    </comment>
    <comment ref="T42" authorId="118" shapeId="0" xr:uid="{EEF55157-C5F1-4C4A-B6BC-86C3DFA3B576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</t>
      </text>
    </comment>
    <comment ref="AG42" authorId="119" shapeId="0" xr:uid="{0C758799-3E6F-D04C-9D93-C78FD3EAFD6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42" authorId="120" shapeId="0" xr:uid="{C9E0AD7F-8F5E-7549-BACC-9F3A8DFB8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42" authorId="121" shapeId="0" xr:uid="{B12CF2C2-425A-5241-B0B8-B4C0C2EC34F6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AQ42" authorId="122" shapeId="0" xr:uid="{1916F392-AC59-3B48-ACC5-59E5B28B45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T43" authorId="123" shapeId="0" xr:uid="{F57EC2AB-33A1-4A40-A411-37E976557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</t>
      </text>
    </comment>
    <comment ref="AG43" authorId="124" shapeId="0" xr:uid="{AC52A79D-7066-AF48-89E5-E110DF890BD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H43" authorId="125" shapeId="0" xr:uid="{0DFE40C7-6D7E-8343-AAA8-FD5C75A7890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P43" authorId="126" shapeId="0" xr:uid="{FB050D24-8BF0-8C40-9D63-BB9EFBCE9D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AQ43" authorId="127" shapeId="0" xr:uid="{11904916-61B4-7345-AFB8-0AA2AA9B84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A44" authorId="128" shapeId="0" xr:uid="{67865497-F996-0545-B54B-500F4D5F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45" authorId="129" shapeId="0" xr:uid="{E4125F4E-FD0B-2B4F-B623-37335EC7925D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46" authorId="130" shapeId="0" xr:uid="{435BB75A-CC92-B740-A48C-03E5EF7B90BA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47" authorId="131" shapeId="0" xr:uid="{E5BF11CF-A7BB-3544-8B9C-C2BD39D96929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team midseason</t>
      </text>
    </comment>
    <comment ref="AP49" authorId="132" shapeId="0" xr:uid="{613252AE-631F-BD46-A763-E92BFD8E0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
Reply:
    Unlikely; superficial tendon region anisotropy
Reply:
    Small hypoechoic foci evident</t>
      </text>
    </comment>
    <comment ref="AQ49" authorId="133" shapeId="0" xr:uid="{8F037353-22DA-2F44-ABDA-6D2A7F5806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</t>
      </text>
    </comment>
    <comment ref="A50" authorId="134" shapeId="0" xr:uid="{BF44EB74-119C-914C-A84A-D0900109C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
Reply:
    Most likely just will not use either midseason walkon</t>
      </text>
    </comment>
    <comment ref="A51" authorId="135" shapeId="0" xr:uid="{FBE0E7B1-FC9A-804E-8312-235A90CE86B4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</t>
      </text>
    </comment>
    <comment ref="AP51" authorId="136" shapeId="0" xr:uid="{57B19EEC-90D7-EA48-9C65-249889C4EEA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(based on Ultrasound video)</t>
      </text>
    </comment>
    <comment ref="BD51" authorId="137" shapeId="0" xr:uid="{7CDA7DE2-7E00-7A44-B201-1ED76B44B016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or irrelevant structure posterior?</t>
      </text>
    </comment>
    <comment ref="BF51" authorId="138" shapeId="0" xr:uid="{9CD67C76-2697-E741-9DAB-BC70221013EC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or irrelevant structure posterior?</t>
      </text>
    </comment>
    <comment ref="BD52" authorId="139" shapeId="0" xr:uid="{FE001245-6E5A-5A49-9092-ACF717A7E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52" authorId="140" shapeId="0" xr:uid="{70F1F739-2152-FE43-BF42-2E3B3E2EEB8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G52" authorId="141" shapeId="0" xr:uid="{0E7C818C-A490-A348-B3DC-60C5703F9A5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53" authorId="142" shapeId="0" xr:uid="{454A69AA-9915-194C-8D39-1DCA17898FD7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53" authorId="143" shapeId="0" xr:uid="{AE74957E-CFD4-244A-9BF5-52A177BBBF6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G53" authorId="144" shapeId="0" xr:uid="{7E5523F2-9BB0-EA4A-B07F-0F79794F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P56" authorId="145" shapeId="0" xr:uid="{435C4E2C-492C-6B46-8F0B-C8980FF9C1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Doctor’s visit both knees</t>
      </text>
    </comment>
    <comment ref="P57" authorId="146" shapeId="0" xr:uid="{042D4729-1A46-4743-BCBF-B6F28E96AB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Doctor’s visit both knees</t>
      </text>
    </comment>
    <comment ref="X57" authorId="147" shapeId="0" xr:uid="{3687D2ED-0B79-6F49-A1BF-97D798EAF30A}">
      <text>
        <t>[Threaded comment]
Your version of Excel allows you to read this threaded comment; however, any edits to it will get removed if the file is opened in a newer version of Excel. Learn more: https://go.microsoft.com/fwlink/?linkid=870924
Comment:
    Tendon or irrelevant structure posterior?</t>
      </text>
    </comment>
    <comment ref="AG57" authorId="148" shapeId="0" xr:uid="{39727037-AF97-5E40-8B67-3F5783CD7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but unlikely; shadowing from patella?</t>
      </text>
    </comment>
    <comment ref="AP57" authorId="149" shapeId="0" xr:uid="{32D80B4B-F860-7E48-B737-6EDC0BCF98A1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possible
Reply:
    Mild/moderate hypoechogenic region on US</t>
      </text>
    </comment>
    <comment ref="P58" authorId="150" shapeId="0" xr:uid="{CEAD7E1A-8F5A-8740-A394-C5BE3063FE8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bilateral patellar tendinitis</t>
      </text>
    </comment>
    <comment ref="R58" authorId="151" shapeId="0" xr:uid="{A564282F-2811-784F-B3A9-95E4CAE1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side?</t>
      </text>
    </comment>
    <comment ref="X58" authorId="152" shapeId="0" xr:uid="{4302A53C-E06F-5F40-9B62-7D068F40983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Y58" authorId="153" shapeId="0" xr:uid="{B24BB8CA-5936-B24F-93F7-57EB073B859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G58" authorId="154" shapeId="0" xr:uid="{42398CF2-8030-0645-A179-A530DC8E5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58" authorId="155" shapeId="0" xr:uid="{8FA8E6AB-CB40-9242-8604-E167D1261FC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58" authorId="156" shapeId="0" xr:uid="{6DADC38E-11EC-AF4A-B280-80806FAE307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58" authorId="157" shapeId="0" xr:uid="{DC2E253E-2BB3-D84D-B01F-74E497BAF51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P59" authorId="158" shapeId="0" xr:uid="{FB2B1FB5-70AD-BB4C-B5A4-2FA63EA8F2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bilateral patellar tendinitis</t>
      </text>
    </comment>
    <comment ref="R59" authorId="159" shapeId="0" xr:uid="{F7AB7E96-7149-BB45-BFE0-2B9320D699CD}">
      <text>
        <t>[Threaded comment]
Your version of Excel allows you to read this threaded comment; however, any edits to it will get removed if the file is opened in a newer version of Excel. Learn more: https://go.microsoft.com/fwlink/?linkid=870924
Comment:
    Which side?</t>
      </text>
    </comment>
    <comment ref="X59" authorId="160" shapeId="0" xr:uid="{9E2C0A02-37E7-B547-8C1A-896A6225F64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Y59" authorId="161" shapeId="0" xr:uid="{46E9C642-524F-E944-BE42-EAED8A08581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AG59" authorId="162" shapeId="0" xr:uid="{59EB02C4-4A2C-A646-8ABF-1BF9D2BE0AF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H59" authorId="163" shapeId="0" xr:uid="{F02ECAE9-6F9C-D44D-B0E3-CC174827FC3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P59" authorId="164" shapeId="0" xr:uid="{32863C62-231F-B64C-8CB7-006DEEEF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59" authorId="165" shapeId="0" xr:uid="{15E5D051-9873-0640-A4A7-7D9CDFB1957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R60" authorId="166" shapeId="0" xr:uid="{BD4DFE10-E3A1-2C4D-AC66-EB05F64A24A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on US</t>
      </text>
    </comment>
    <comment ref="AG60" authorId="167" shapeId="0" xr:uid="{E9B79EED-1C2F-3047-ABBD-B10A95942A31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HE</t>
      </text>
    </comment>
    <comment ref="AP60" authorId="168" shapeId="0" xr:uid="{01A7BA70-CC4F-FE46-B186-71DD7724D9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
Reply:
    Mild hypoechogenicity</t>
      </text>
    </comment>
    <comment ref="AQ60" authorId="169" shapeId="0" xr:uid="{085EA657-693B-134D-AA5A-F4CAB94F23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R61" authorId="170" shapeId="0" xr:uid="{D22D7411-F52A-C54E-92A6-464FF057313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on US</t>
      </text>
    </comment>
    <comment ref="AG61" authorId="171" shapeId="0" xr:uid="{CC3D62BE-5F95-D348-ABE0-659B7E0F52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AP61" authorId="172" shapeId="0" xr:uid="{12304AB7-18C4-F340-B200-F47D8D1DC13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AQ61" authorId="173" shapeId="0" xr:uid="{AA88B9A6-C4BD-5144-A700-896ED3B140A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Q63" authorId="174" shapeId="0" xr:uid="{74BF93DD-0DB4-A748-80F1-07C2F7F282E0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 procedure
Reply:
    Confirmed L ankle procedure; no knee procedure</t>
      </text>
    </comment>
    <comment ref="AH64" authorId="175" shapeId="0" xr:uid="{1C6A33D1-A56C-FE41-8889-1659F42F3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</t>
      </text>
    </comment>
    <comment ref="AP64" authorId="176" shapeId="0" xr:uid="{8433215B-7957-CB47-845D-97CB666CC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U64" authorId="177" shapeId="0" xr:uid="{79C4620D-ACBB-D541-969D-D68421D929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AV64" authorId="178" shapeId="0" xr:uid="{B3FD9E9B-7C6C-614E-8A21-233EC5CA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BG64" authorId="179" shapeId="0" xr:uid="{C4A96CFA-1C9C-3342-8C50-CE8FFBC76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
Reply:
    HE region</t>
      </text>
    </comment>
    <comment ref="AL65" authorId="180" shapeId="0" xr:uid="{4F68F4BC-4FB3-C948-8EB9-99A8E3B86067}">
      <text>
        <t>[Threaded comment]
Your version of Excel allows you to read this threaded comment; however, any edits to it will get removed if the file is opened in a newer version of Excel. Learn more: https://go.microsoft.com/fwlink/?linkid=870924
Comment:
    L knee meniscal surgery upcoming</t>
      </text>
    </comment>
    <comment ref="AP65" authorId="181" shapeId="0" xr:uid="{A39A6085-4DE6-0C44-B318-642C1DDDA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AU65" authorId="182" shapeId="0" xr:uid="{EAC6C8D6-3673-A84E-92FD-04E6C0C0A37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AV65" authorId="183" shapeId="0" xr:uid="{AB78A0CB-D098-9D49-BD29-45AE997C2F0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Popkin</t>
      </text>
    </comment>
    <comment ref="A66" authorId="184" shapeId="0" xr:uid="{08A8D1C7-D760-0C44-A8CD-3014A84C4535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</t>
      </text>
    </comment>
    <comment ref="A67" authorId="185" shapeId="0" xr:uid="{924D2BBE-177B-7E49-8DEC-E4CE27520AE0}">
      <text>
        <t>[Threaded comment]
Your version of Excel allows you to read this threaded comment; however, any edits to it will get removed if the file is opened in a newer version of Excel. Learn more: https://go.microsoft.com/fwlink/?linkid=870924
Comment:
    Midseason walkon</t>
      </text>
    </comment>
    <comment ref="BF72" authorId="186" shapeId="0" xr:uid="{901F5C63-4B7A-1544-BE41-C3197AA526F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72" authorId="187" shapeId="0" xr:uid="{019F9ADD-9011-DB40-832C-FC899EADE09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75" authorId="188" shapeId="0" xr:uid="{62A904BC-0998-E947-8D19-3DD549EE2E6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focal HE region</t>
      </text>
    </comment>
    <comment ref="BF82" authorId="189" shapeId="0" xr:uid="{563ABAF1-F128-624D-BE61-9F242FA2F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G82" authorId="190" shapeId="0" xr:uid="{31B8F70D-F6A1-B74F-BDD6-E742C50A842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D84" authorId="191" shapeId="0" xr:uid="{1ABCAF6A-7B56-1F40-A2B3-13F32B077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</t>
      </text>
    </comment>
    <comment ref="BF84" authorId="192" shapeId="0" xr:uid="{4522D2DF-FAF7-FD44-ACD5-FAB742C76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84" authorId="193" shapeId="0" xr:uid="{AE125BE0-66BC-5649-96E0-C81E592BD7B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85" authorId="194" shapeId="0" xr:uid="{6509C3B7-6D7F-A242-A347-8F356BEA0C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F85" authorId="195" shapeId="0" xr:uid="{D6BD8344-2095-B845-A69D-3BEF585C7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85" authorId="196" shapeId="0" xr:uid="{FCB55328-7E75-9B44-8E11-554B3CBE21D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88" authorId="197" shapeId="0" xr:uid="{81C366ED-5144-F54E-ABE1-EED4EFEF9B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88" authorId="198" shapeId="0" xr:uid="{91E401F3-AC4F-DC48-AD13-C01F7FAC34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HE noted</t>
      </text>
    </comment>
    <comment ref="BD89" authorId="199" shapeId="0" xr:uid="{6F1857FE-FEF2-DD49-8CCA-100D2BD04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PPTT</t>
      </text>
    </comment>
    <comment ref="BF89" authorId="200" shapeId="0" xr:uid="{B8D1EBF8-0381-B646-AB73-7FEBDFA5667C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90" authorId="201" shapeId="0" xr:uid="{82FB9E05-8ABB-8441-8242-3F1FF4921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90" authorId="202" shapeId="0" xr:uid="{A44223ED-FB76-DA4E-BE16-7906A8677DD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94" authorId="203" shapeId="0" xr:uid="{CB08A511-5530-A349-82E8-DB9218E02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94" authorId="204" shapeId="0" xr:uid="{CA8FCF36-2A54-B140-AD14-948BAF43870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95" authorId="205" shapeId="0" xr:uid="{852226C3-DF77-9840-BCF7-62121A79AD1E}">
      <text>
        <t>[Threaded comment]
Your version of Excel allows you to read this threaded comment; however, any edits to it will get removed if the file is opened in a newer version of Excel. Learn more: https://go.microsoft.com/fwlink/?linkid=870924
Comment:
    large hypoechoic region deep to tendon vs. PPTT</t>
      </text>
    </comment>
    <comment ref="BF95" authorId="206" shapeId="0" xr:uid="{63F52B9B-C2EB-874E-B201-BAD7F67B3F45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G95" authorId="207" shapeId="0" xr:uid="{012F6191-CC13-EA45-BA29-ACC075C25A96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F97" authorId="208" shapeId="0" xr:uid="{07EF6897-4FA0-CE44-9000-5D5216DDEBFC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surgery; clear sign of enlargement from preseason</t>
      </text>
    </comment>
    <comment ref="BF98" authorId="209" shapeId="0" xr:uid="{DADEDBC3-DC9F-7749-814D-52186FC59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98" authorId="210" shapeId="0" xr:uid="{10DA8380-061B-5B4C-B458-337E8C57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99" authorId="211" shapeId="0" xr:uid="{BEBFF5D9-EF44-CF4E-AE57-96B4A673025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99" authorId="212" shapeId="0" xr:uid="{FEE39AC1-D0FE-374F-8CBC-D0101E1BC22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09" authorId="213" shapeId="0" xr:uid="{79E224A4-2E8C-7645-A170-A8A99E6DCF8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but unlikely; shadowing from patella?</t>
      </text>
    </comment>
    <comment ref="BD110" authorId="214" shapeId="0" xr:uid="{E4CB9F54-8C1B-6E43-B0C9-7E63E9630058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110" authorId="215" shapeId="0" xr:uid="{8E609065-106E-5148-8A00-989DD125E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110" authorId="216" shapeId="0" xr:uid="{A3ED9E18-ADA9-CF45-8C3D-AA010A8250D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11" authorId="217" shapeId="0" xr:uid="{7BCE77C5-2C5F-994E-8556-DED733AC5CF9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111" authorId="218" shapeId="0" xr:uid="{E0DFDF51-131F-1D46-B624-3731A6D135A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G111" authorId="219" shapeId="0" xr:uid="{FB2E6514-A7A6-514C-BFC9-9DA561149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12" authorId="220" shapeId="0" xr:uid="{67E88DD2-0652-D646-98F1-28F99EC64DA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HE</t>
      </text>
    </comment>
    <comment ref="BF113" authorId="221" shapeId="0" xr:uid="{1BB66412-25E5-214A-BC7B-4FE130191AB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G116" authorId="222" shapeId="0" xr:uid="{ADF217BB-F34C-AB4A-A26D-A6A501EEBC4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</t>
      </text>
    </comment>
    <comment ref="BG122" authorId="223" shapeId="0" xr:uid="{F67D2A38-4ADB-384D-8B28-9A71E1E9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F123" authorId="224" shapeId="0" xr:uid="{960C3429-7C25-7042-AB23-18AC283760EC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G123" authorId="225" shapeId="0" xr:uid="{C3E4DD95-EEF8-834C-9A83-9251B3309C6A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F124" authorId="226" shapeId="0" xr:uid="{621C8036-0A87-374F-A373-1EE13AB9DF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F126" authorId="227" shapeId="0" xr:uid="{DDA839C0-F72E-8F49-A691-BF23B4239E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G126" authorId="228" shapeId="0" xr:uid="{474B5E2F-787F-2A42-9319-9258327751D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F127" authorId="229" shapeId="0" xr:uid="{0C4F781A-E9FD-9A43-A5D8-640BFEDB626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30" authorId="230" shapeId="0" xr:uid="{95D364CF-A7C7-7C4B-B412-BEC1BD332FB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32" authorId="231" shapeId="0" xr:uid="{7514C844-5ED2-EE42-9536-6CFF21C40D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G132" authorId="232" shapeId="0" xr:uid="{9238E96C-7B4B-584D-908A-10F627DC45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F135" authorId="233" shapeId="0" xr:uid="{630B275F-E233-CE4C-AF57-04DEBF30034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36" authorId="234" shapeId="0" xr:uid="{479E0AC4-ED45-B449-A994-583697327C6F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G136" authorId="235" shapeId="0" xr:uid="{A77F961A-D453-9C40-841A-FE11C30BE6B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F139" authorId="236" shapeId="0" xr:uid="{8B1004AE-F177-6647-B912-A292662795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G139" authorId="237" shapeId="0" xr:uid="{ECC4A536-9E8F-5A43-8439-29E1B588227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140" authorId="238" shapeId="0" xr:uid="{A4D173F1-B9A8-5C49-B6BA-56418F963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D142" authorId="239" shapeId="0" xr:uid="{4AEEF358-F08E-E54C-B00A-24F27C5E3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42" authorId="240" shapeId="0" xr:uid="{07D9EE1D-F3A6-4943-9217-D1539B0AF0D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G142" authorId="241" shapeId="0" xr:uid="{D83F28C6-F03E-9B41-AEDF-D9094669CE5C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143" authorId="242" shapeId="0" xr:uid="{9C7E6A0D-9CAD-AF4E-9465-1272ED51C8D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43" authorId="243" shapeId="0" xr:uid="{919BB0FA-9614-C246-9278-FD702A6C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likeley</t>
      </text>
    </comment>
    <comment ref="BG143" authorId="244" shapeId="0" xr:uid="{ECA6A48B-52CD-5945-ABA7-AC7ECDE95F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PPTT most likely </t>
      </text>
    </comment>
    <comment ref="BF144" authorId="245" shapeId="0" xr:uid="{4D392D32-5585-2E48-856C-B6B1EE70167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45" authorId="246" shapeId="0" xr:uid="{FDB12740-3088-1A46-8FD1-BB383898662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45" authorId="247" shapeId="0" xr:uid="{4C72521E-0672-A247-BF0B-BF825A50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146" authorId="248" shapeId="0" xr:uid="{227FF33B-A222-F34A-B5E6-875CE9B4556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HE noted</t>
      </text>
    </comment>
    <comment ref="BD147" authorId="249" shapeId="0" xr:uid="{8910EED1-98F1-0B47-A724-0E078C14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F147" authorId="250" shapeId="0" xr:uid="{1B283A24-3EA5-9044-80AF-D1833955C6D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48" authorId="251" shapeId="0" xr:uid="{7AE7C137-4CB7-B646-962E-F2F5BEC16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48" authorId="252" shapeId="0" xr:uid="{2784D00D-ADEB-E94A-9A0D-9185495C249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G148" authorId="253" shapeId="0" xr:uid="{1229A232-6970-CC4F-B726-1B3B0C11DCC3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F149" authorId="254" shapeId="0" xr:uid="{50A08660-DE60-E04F-A378-7357D616D648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G149" authorId="255" shapeId="0" xr:uid="{048ED3E1-0157-0E41-871A-1FD0C480EFA8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152" authorId="256" shapeId="0" xr:uid="{5CD9C919-BA5A-774D-8D26-26EF1F22796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52" authorId="257" shapeId="0" xr:uid="{BCDEC936-213E-B043-863B-43CCF532C4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G152" authorId="258" shapeId="0" xr:uid="{8364839E-BB90-B646-9071-9F28CE4FD1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153" authorId="259" shapeId="0" xr:uid="{AC86BAFF-4E98-D544-B314-1DDD52802B0A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D155" authorId="260" shapeId="0" xr:uid="{8D9F0C5E-A17D-3B47-8A4B-E25F60390BBC}">
      <text>
        <t>[Threaded comment]
Your version of Excel allows you to read this threaded comment; however, any edits to it will get removed if the file is opened in a newer version of Excel. Learn more: https://go.microsoft.com/fwlink/?linkid=870924
Comment:
    Hx of PT surgery; clear sign of enlargement from preseason</t>
      </text>
    </comment>
    <comment ref="BD156" authorId="261" shapeId="0" xr:uid="{EE485350-0597-8445-B312-3E897285C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56" authorId="262" shapeId="0" xr:uid="{8695024D-AD39-CB41-B642-3A08F559107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G156" authorId="263" shapeId="0" xr:uid="{E5DBCC20-222E-AB43-BE11-F6743726D6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157" authorId="264" shapeId="0" xr:uid="{0CBA257B-A9AF-0244-BCA2-9CB0334E76F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57" authorId="265" shapeId="0" xr:uid="{16EF845D-92E4-2148-9A0C-ADD88AE65A25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G157" authorId="266" shapeId="0" xr:uid="{7D6925CE-A004-AF4F-A321-978B7DC9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F159" authorId="267" shapeId="0" xr:uid="{1658A747-25AE-EC4F-A507-CC1E77F88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
Reply:
    Unlikely; superficial tendon region anisotropy
Reply:
    Small hypoechoic foci evident</t>
      </text>
    </comment>
    <comment ref="BG159" authorId="268" shapeId="0" xr:uid="{A004BC19-B043-FB47-95B1-5F582166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</t>
      </text>
    </comment>
    <comment ref="BF161" authorId="269" shapeId="0" xr:uid="{7E6B8A11-B1C6-534F-A4B2-BA7308ECF00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(based on Ultrasound video)</t>
      </text>
    </comment>
    <comment ref="BD167" authorId="270" shapeId="0" xr:uid="{08A61B81-FC35-7E44-8214-7C449E5D026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but unlikely; shadowing from patella?</t>
      </text>
    </comment>
    <comment ref="BF167" authorId="271" shapeId="0" xr:uid="{FE1767E3-DABA-BC44-A5EA-35B293F6DE18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possible
Reply:
    Mild/moderate hypoechogenic region on US</t>
      </text>
    </comment>
    <comment ref="BD168" authorId="272" shapeId="0" xr:uid="{923FF003-2B77-544D-A228-B1FC19AA044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68" authorId="273" shapeId="0" xr:uid="{6A0BB402-BCD2-C94F-8095-CDF3D336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68" authorId="274" shapeId="0" xr:uid="{14BA07B4-5993-364A-A001-DF20BC59B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169" authorId="275" shapeId="0" xr:uid="{852DBB69-644F-9A41-845E-36C04AD55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69" authorId="276" shapeId="0" xr:uid="{D9214D23-2625-524C-9A07-39B1ED58A18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69" authorId="277" shapeId="0" xr:uid="{C8E5285B-640A-5C42-92F7-117EDCEDBE0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170" authorId="278" shapeId="0" xr:uid="{B4B714A1-47A5-8646-9BF7-335CC873929D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HE</t>
      </text>
    </comment>
    <comment ref="BF170" authorId="279" shapeId="0" xr:uid="{4515EA3A-05B5-644B-B53D-10FDC1D3E3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
Reply:
    Mild hypoechogenicity</t>
      </text>
    </comment>
    <comment ref="BG170" authorId="280" shapeId="0" xr:uid="{116FF4DE-5483-A542-8985-D7B5364BF3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D171" authorId="281" shapeId="0" xr:uid="{4373D828-E8A3-A443-A93B-DA7EF87D23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F171" authorId="282" shapeId="0" xr:uid="{C4C8C714-4DA9-F243-A91F-5F98A5C29DA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G171" authorId="283" shapeId="0" xr:uid="{3CAD7379-3E73-F349-B2CA-130F3C7D04E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F174" authorId="284" shapeId="0" xr:uid="{AFBF8894-2AAA-6B41-BEE4-8E0A0D9E68A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F175" authorId="285" shapeId="0" xr:uid="{59D9E75A-2089-0C47-B241-0B0C5C604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182" authorId="286" shapeId="0" xr:uid="{896F36EF-DEA1-704A-9929-28BC7A76F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PPTT?
Reply:
    HE region</t>
      </text>
    </comment>
    <comment ref="BD190" authorId="287" shapeId="0" xr:uid="{08EF4940-1070-3F43-83AE-FF457A78C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00" authorId="288" shapeId="0" xr:uid="{0155A632-0271-B445-A2D7-9F1D855AA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grade 2</t>
      </text>
    </comment>
    <comment ref="BD202" authorId="289" shapeId="0" xr:uid="{C332F45F-66C7-B348-8D1E-13570A3E0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03" authorId="290" shapeId="0" xr:uid="{55623D5E-50AB-B648-A6D0-4B3FA1567B1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08" authorId="291" shapeId="0" xr:uid="{A832BFDB-1701-0249-B587-F5ACC4AA2B4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12" authorId="292" shapeId="0" xr:uid="{1F533665-DA0C-0649-9C56-16E75E60369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13" authorId="293" shapeId="0" xr:uid="{9DE556FE-E483-FE4C-A64C-60678A4BC6E5}">
      <text>
        <t>[Threaded comment]
Your version of Excel allows you to read this threaded comment; however, any edits to it will get removed if the file is opened in a newer version of Excel. Learn more: https://go.microsoft.com/fwlink/?linkid=870924
Comment:
    Anchors in place</t>
      </text>
    </comment>
    <comment ref="BD216" authorId="294" shapeId="0" xr:uid="{1D6B5016-C19E-244C-91DC-7A30A098D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17" authorId="295" shapeId="0" xr:uid="{0F106F2B-06E9-6443-93AA-49DD575BC06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28" authorId="296" shapeId="0" xr:uid="{4901B82B-4F58-7742-85CF-3D3BCB58C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29" authorId="297" shapeId="0" xr:uid="{AC4D95EC-AFD4-244C-8C25-C5E6A5B81F2E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34" authorId="298" shapeId="0" xr:uid="{CB620B2E-882F-CC47-AB5D-E763AD2E4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</t>
      </text>
    </comment>
    <comment ref="BD241" authorId="299" shapeId="0" xr:uid="{F8451F3A-745A-E74B-9845-AF2FB5008EB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D242" authorId="300" shapeId="0" xr:uid="{D4D78C69-EA9D-6A40-9DDC-9649F37D5AEF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244" authorId="301" shapeId="0" xr:uid="{47279F50-3569-5A44-AE67-F51730473C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245" authorId="302" shapeId="0" xr:uid="{AFB7784A-62DA-4B4B-AA79-3DB83AB3A14F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50" authorId="303" shapeId="0" xr:uid="{61DD35BD-36B7-D54C-B1F0-A11C3257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253" authorId="304" shapeId="0" xr:uid="{DDAABBE4-A84F-6043-B916-640E48723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54" authorId="305" shapeId="0" xr:uid="{50045D68-9DFA-CE4B-8636-F4E43E0E0D42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D257" authorId="306" shapeId="0" xr:uid="{AACA2DF2-B138-8C4A-A07E-55AE5DE193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260" authorId="307" shapeId="0" xr:uid="{DDA0440C-49C0-6B44-9C9E-4B2CB3A0721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261" authorId="308" shapeId="0" xr:uid="{5387EABB-0032-9F46-A82B-BCADFA3E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likeley</t>
      </text>
    </comment>
    <comment ref="BD262" authorId="309" shapeId="0" xr:uid="{B7DDF79E-B6DE-2A42-B0E1-0DAA59D7C43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63" authorId="310" shapeId="0" xr:uid="{222FFD2D-22B3-2D49-A9AB-DD499B21845D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65" authorId="311" shapeId="0" xr:uid="{80C71CBE-3CDF-0E4F-B18B-89CC1560AB2A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66" authorId="312" shapeId="0" xr:uid="{FCB727D3-0B0F-5F41-9DB5-847F7DBBE3A4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D267" authorId="313" shapeId="0" xr:uid="{77D7AFAB-3CAA-4840-BE33-0EEBD60FA4EE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270" authorId="314" shapeId="0" xr:uid="{B4471FC0-0EED-E048-9014-3BFDEA52CA03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274" authorId="315" shapeId="0" xr:uid="{0ECDB18E-1B42-0B45-93D9-6E7237B647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275" authorId="316" shapeId="0" xr:uid="{22354236-5438-5348-AE15-0A631D39B2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D277" authorId="317" shapeId="0" xr:uid="{C8469ACE-FBD1-E844-9D84-16430E0DAED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
Reply:
    Unlikely; superficial tendon region anisotropy
Reply:
    Small hypoechoic foci evident</t>
      </text>
    </comment>
    <comment ref="BD279" authorId="318" shapeId="0" xr:uid="{995FED5C-A057-2140-BA88-1DC03A397A0B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possible (based on Ultrasound video)</t>
      </text>
    </comment>
    <comment ref="BD285" authorId="319" shapeId="0" xr:uid="{F2FD2BF7-547B-B046-946B-5F34119A2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possible
Reply:
    Mild/moderate hypoechogenic region on US</t>
      </text>
    </comment>
    <comment ref="BD286" authorId="320" shapeId="0" xr:uid="{DB70E99D-6A8E-8D46-91D2-EBA7709505A1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87" authorId="321" shapeId="0" xr:uid="{C84221A2-402B-964C-8B5D-9360A557671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88" authorId="322" shapeId="0" xr:uid="{B23FF2A9-1BF1-C44F-8791-4E2D38014DC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
Reply:
    Mild hypoechogenicity</t>
      </text>
    </comment>
    <comment ref="BD289" authorId="323" shapeId="0" xr:uid="{48867C5C-1E92-8D46-BFA1-120DA7B9FE92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292" authorId="324" shapeId="0" xr:uid="{75A32B34-A219-0044-B7E6-B7D836FA90B3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93" authorId="325" shapeId="0" xr:uid="{BD16C7CB-F532-5645-8ACC-6E7D91C5EC8C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 likely</t>
      </text>
    </comment>
    <comment ref="BD298" authorId="326" shapeId="0" xr:uid="{672E6FE5-82C9-F944-A6F0-19B4FF4300E0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D299" authorId="327" shapeId="0" xr:uid="{09961102-F4EF-F440-B5B8-E39F98774D26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PT likely</t>
      </text>
    </comment>
    <comment ref="BD302" authorId="328" shapeId="0" xr:uid="{98CFE0FE-6C05-8F49-8A97-4F271977AA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308" authorId="329" shapeId="0" xr:uid="{2EBB14E8-4D55-0543-9DF1-72DE5335C6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312" authorId="330" shapeId="0" xr:uid="{EE56EDFC-5135-4942-96C6-BF76452A979C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hypoechogenic region
Reply:
    Likely superficial tendon anisotropy</t>
      </text>
    </comment>
    <comment ref="BD315" authorId="331" shapeId="0" xr:uid="{DAB10606-27DA-C842-9204-60F230A203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 likely</t>
      </text>
    </comment>
    <comment ref="BD318" authorId="332" shapeId="0" xr:uid="{500A441F-8AFF-3F4A-AA2D-C40CB0D84DB5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</t>
      </text>
    </comment>
    <comment ref="BD319" authorId="333" shapeId="0" xr:uid="{6F596B05-356E-1D48-8EFC-C557D817B2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PPTT most likely </t>
      </text>
    </comment>
    <comment ref="BD321" authorId="334" shapeId="0" xr:uid="{70F0228F-9F2F-334E-9682-33B277049166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24" authorId="335" shapeId="0" xr:uid="{EA97F70D-0D15-C14C-98A0-17D260A89F5B}">
      <text>
        <t>[Threaded comment]
Your version of Excel allows you to read this threaded comment; however, any edits to it will get removed if the file is opened in a newer version of Excel. Learn more: https://go.microsoft.com/fwlink/?linkid=870924
Comment:
    Mild PPTT likely</t>
      </text>
    </comment>
    <comment ref="BD325" authorId="336" shapeId="0" xr:uid="{DE99E7B2-DDAA-EB40-845A-5822532BD8DC}">
      <text>
        <t>[Threaded comment]
Your version of Excel allows you to read this threaded comment; however, any edits to it will get removed if the file is opened in a newer version of Excel. Learn more: https://go.microsoft.com/fwlink/?linkid=870924
Comment:
    Hypoechoic region; PPTT likely</t>
      </text>
    </comment>
    <comment ref="BD328" authorId="337" shapeId="0" xr:uid="{76493158-6352-064E-B4B7-EEB9359058B1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332" authorId="338" shapeId="0" xr:uid="{5626DE2B-CC0A-3344-BB17-5863A0F373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 PPTT</t>
      </text>
    </comment>
    <comment ref="BD333" authorId="339" shapeId="0" xr:uid="{166B2133-727F-6D41-8354-44E23E0BBE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Moderate/severe PPTT</t>
      </text>
    </comment>
    <comment ref="BD335" authorId="340" shapeId="0" xr:uid="{6F9ADB96-51E4-8E49-A335-306698E6CC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small PPTT</t>
      </text>
    </comment>
    <comment ref="BD344" authorId="341" shapeId="0" xr:uid="{C64888F5-02AA-8D4B-AC20-C84A74554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45" authorId="342" shapeId="0" xr:uid="{62382771-59CB-CE44-8425-03ED98EAB289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  <comment ref="BD346" authorId="343" shapeId="0" xr:uid="{1C165130-E200-B748-BBD0-4DB5F3859F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Possible early stage PPTT</t>
      </text>
    </comment>
    <comment ref="BD347" authorId="344" shapeId="0" xr:uid="{C9021EC5-B6F3-DA44-AEF2-1CBD1C8BF325}">
      <text>
        <t>[Threaded comment]
Your version of Excel allows you to read this threaded comment; however, any edits to it will get removed if the file is opened in a newer version of Excel. Learn more: https://go.microsoft.com/fwlink/?linkid=870924
Comment:
    PPTT</t>
      </text>
    </comment>
  </commentList>
</comments>
</file>

<file path=xl/sharedStrings.xml><?xml version="1.0" encoding="utf-8"?>
<sst xmlns="http://schemas.openxmlformats.org/spreadsheetml/2006/main" count="489" uniqueCount="139">
  <si>
    <t>Freshman</t>
  </si>
  <si>
    <t>T2-xL</t>
  </si>
  <si>
    <t>T2-xR</t>
  </si>
  <si>
    <t>T2-50L</t>
  </si>
  <si>
    <t>T2-50R</t>
  </si>
  <si>
    <t>Junior</t>
  </si>
  <si>
    <t>T2-30L</t>
  </si>
  <si>
    <t>T2-30R</t>
  </si>
  <si>
    <t>T2-24L</t>
  </si>
  <si>
    <t>T2-24R</t>
  </si>
  <si>
    <t>T2-23L</t>
  </si>
  <si>
    <t>T2-23R</t>
  </si>
  <si>
    <t>Senior</t>
  </si>
  <si>
    <t>T2-21L</t>
  </si>
  <si>
    <t>T2-21R</t>
  </si>
  <si>
    <t>Sophomore</t>
  </si>
  <si>
    <t>T2-15L</t>
  </si>
  <si>
    <t>T2-15R</t>
  </si>
  <si>
    <t>T2-14L</t>
  </si>
  <si>
    <t>T2-14R</t>
  </si>
  <si>
    <t>T2-13L</t>
  </si>
  <si>
    <t>T2-13R</t>
  </si>
  <si>
    <t>T2-10L</t>
  </si>
  <si>
    <t>T2-10R</t>
  </si>
  <si>
    <t>T2-5L</t>
  </si>
  <si>
    <t>T2-5R</t>
  </si>
  <si>
    <t>T2-4L</t>
  </si>
  <si>
    <t>T2-4R</t>
  </si>
  <si>
    <t>T2-3L</t>
  </si>
  <si>
    <t>T2-3R</t>
  </si>
  <si>
    <t>T2-2L</t>
  </si>
  <si>
    <t>T2-2R</t>
  </si>
  <si>
    <t>T2-1L</t>
  </si>
  <si>
    <t>T2-1R</t>
  </si>
  <si>
    <t>T2-0L</t>
  </si>
  <si>
    <t>T2-0R</t>
  </si>
  <si>
    <t>T1-35L</t>
  </si>
  <si>
    <t>T1-35R</t>
  </si>
  <si>
    <t>T1-34L</t>
  </si>
  <si>
    <t>T1-34R</t>
  </si>
  <si>
    <t>T1-32L</t>
  </si>
  <si>
    <t>T1-32R</t>
  </si>
  <si>
    <t>T1-25L</t>
  </si>
  <si>
    <t>T1-25R</t>
  </si>
  <si>
    <t>T1-24L</t>
  </si>
  <si>
    <t>T1-24R</t>
  </si>
  <si>
    <t>T1-20L</t>
  </si>
  <si>
    <t>T1-20R</t>
  </si>
  <si>
    <t>T1-15L</t>
  </si>
  <si>
    <t>T1-15R</t>
  </si>
  <si>
    <t>T1-14L</t>
  </si>
  <si>
    <t>T1-14R</t>
  </si>
  <si>
    <t>T1-12L</t>
  </si>
  <si>
    <t>T1-12R</t>
  </si>
  <si>
    <t>T1-11L</t>
  </si>
  <si>
    <t>T1-11R</t>
  </si>
  <si>
    <t>T1-10L</t>
  </si>
  <si>
    <t>T1-10R</t>
  </si>
  <si>
    <t>T1-5L</t>
  </si>
  <si>
    <t>T1-5R</t>
  </si>
  <si>
    <t>T1-4L</t>
  </si>
  <si>
    <t>T1-4R</t>
  </si>
  <si>
    <t>T1-3L</t>
  </si>
  <si>
    <t>T1-3R</t>
  </si>
  <si>
    <t>T1-2L</t>
  </si>
  <si>
    <t>T1-2R</t>
  </si>
  <si>
    <t>Graduate</t>
  </si>
  <si>
    <t>T1-1L</t>
  </si>
  <si>
    <t>T1-1R</t>
  </si>
  <si>
    <t>T1-0L</t>
  </si>
  <si>
    <t>T1-0R</t>
  </si>
  <si>
    <t>ATPOST</t>
  </si>
  <si>
    <t>ATS2R2POST</t>
  </si>
  <si>
    <t>ATS2R1POST</t>
  </si>
  <si>
    <t>ATS1R1POST</t>
  </si>
  <si>
    <t>TTPOST</t>
  </si>
  <si>
    <t>VPOST</t>
  </si>
  <si>
    <t>ATMID</t>
  </si>
  <si>
    <t>ATS2R2MID</t>
  </si>
  <si>
    <t>ATS2R1MID</t>
  </si>
  <si>
    <t>ATS1R1MID</t>
  </si>
  <si>
    <t>TTMID</t>
  </si>
  <si>
    <t>VMID</t>
  </si>
  <si>
    <t>ATPRE</t>
  </si>
  <si>
    <t>ATS2R2PRE</t>
  </si>
  <si>
    <t>ATS2R1PRE</t>
  </si>
  <si>
    <t>ATS1R1PRE</t>
  </si>
  <si>
    <t>TTPRE</t>
  </si>
  <si>
    <t>VPRE</t>
  </si>
  <si>
    <t>OS</t>
  </si>
  <si>
    <t>SHX</t>
  </si>
  <si>
    <t>JUMPHX</t>
  </si>
  <si>
    <t>YEARS SPECIALIZED</t>
  </si>
  <si>
    <t>YEARS</t>
  </si>
  <si>
    <t>Year in School</t>
  </si>
  <si>
    <t>POS</t>
  </si>
  <si>
    <t>AGE</t>
  </si>
  <si>
    <t>WEIGHT</t>
  </si>
  <si>
    <t>HEIGHT</t>
  </si>
  <si>
    <t>Gender 
(1=M, 0=F)</t>
  </si>
  <si>
    <t>Number</t>
  </si>
  <si>
    <t>TTR</t>
  </si>
  <si>
    <t>V80</t>
  </si>
  <si>
    <t>V70</t>
  </si>
  <si>
    <t>FULLDATA</t>
  </si>
  <si>
    <t>T1145</t>
  </si>
  <si>
    <t>PTPRE</t>
  </si>
  <si>
    <t>PTMID</t>
  </si>
  <si>
    <t>PTPOST</t>
  </si>
  <si>
    <t>delta Pre to Mid</t>
  </si>
  <si>
    <t>delta Pre to Post</t>
  </si>
  <si>
    <t>DV13</t>
  </si>
  <si>
    <t>FULLHEALTH</t>
  </si>
  <si>
    <t>FULLNOHE</t>
  </si>
  <si>
    <t>HE</t>
  </si>
  <si>
    <t>HEPRE</t>
  </si>
  <si>
    <t>HEMID</t>
  </si>
  <si>
    <t>HEPOST</t>
  </si>
  <si>
    <t>ATHLETE</t>
  </si>
  <si>
    <t>TEAM</t>
  </si>
  <si>
    <t>SYMP</t>
  </si>
  <si>
    <t>TLPT</t>
  </si>
  <si>
    <t>BMI</t>
  </si>
  <si>
    <t>ATINTRA1</t>
  </si>
  <si>
    <t>ATINTRA2</t>
  </si>
  <si>
    <t>ATINTER1</t>
  </si>
  <si>
    <t>ATINTER2</t>
  </si>
  <si>
    <t>Vpre2mid</t>
  </si>
  <si>
    <t>PTpre2mid</t>
  </si>
  <si>
    <t>TTpre2mid</t>
  </si>
  <si>
    <t>ATpre2mid</t>
  </si>
  <si>
    <t>Vpost2mid</t>
  </si>
  <si>
    <t>PTpost2mid</t>
  </si>
  <si>
    <t>TTpost2mid</t>
  </si>
  <si>
    <t>ATpost2mid</t>
  </si>
  <si>
    <t>Vpost2pre</t>
  </si>
  <si>
    <t>PTpost2pre</t>
  </si>
  <si>
    <t>TTpost2pre</t>
  </si>
  <si>
    <t>ATpost2pre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</si>
</sst>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4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7" borderId="3" xfId="0" applyFill="1" applyBorder="1"/>
    <xf numFmtId="0" fontId="0" fillId="2" borderId="2" xfId="0" applyFill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9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0" xfId="0" applyFont="1" applyBorder="1"/>
    <xf numFmtId="0" fontId="0" fillId="0" borderId="11" xfId="0" applyBorder="1"/>
    <xf numFmtId="0" fontId="1" fillId="0" borderId="11" xfId="0" applyFont="1" applyBorder="1"/>
    <xf numFmtId="0" fontId="1" fillId="0" borderId="12" xfId="0" applyFont="1" applyBorder="1"/>
    <xf numFmtId="0" fontId="1" fillId="3" borderId="4" xfId="0" applyFont="1" applyFill="1" applyBorder="1"/>
    <xf numFmtId="0" fontId="0" fillId="8" borderId="0" xfId="0" applyFill="1"/>
    <xf numFmtId="0" fontId="0" fillId="3" borderId="11" xfId="0" applyFill="1" applyBorder="1"/>
    <xf numFmtId="0" fontId="1" fillId="0" borderId="5" xfId="0" applyFont="1" applyBorder="1" applyAlignment="1">
      <alignment wrapText="1"/>
    </xf>
    <xf numFmtId="0" fontId="0" fillId="3" borderId="3" xfId="0" applyFill="1" applyBorder="1"/>
    <xf numFmtId="0" fontId="1" fillId="3" borderId="3" xfId="0" applyFont="1" applyFill="1" applyBorder="1"/>
    <xf numFmtId="0" fontId="3" fillId="0" borderId="0" xfId="0" applyFont="1"/>
    <xf numFmtId="0" fontId="3" fillId="0" borderId="3" xfId="0" applyFont="1" applyBorder="1"/>
    <xf numFmtId="0" fontId="3" fillId="2" borderId="0" xfId="0" applyFont="1" applyFill="1"/>
    <xf numFmtId="0" fontId="4" fillId="0" borderId="0" xfId="0" applyFont="1"/>
    <xf numFmtId="0" fontId="0" fillId="7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7" borderId="4" xfId="0" applyFill="1" applyBorder="1"/>
    <xf numFmtId="2" fontId="1" fillId="0" borderId="0" xfId="0" applyNumberFormat="1" applyFont="1"/>
    <xf numFmtId="2" fontId="1" fillId="0" borderId="2" xfId="0" applyNumberFormat="1" applyFont="1" applyBorder="1"/>
    <xf numFmtId="0" fontId="1" fillId="9" borderId="8" xfId="0" applyFont="1" applyFill="1" applyBorder="1" applyAlignment="1">
      <alignment wrapText="1"/>
    </xf>
    <xf numFmtId="0" fontId="0" fillId="9" borderId="0" xfId="0" applyFill="1"/>
    <xf numFmtId="0" fontId="0" fillId="9" borderId="3" xfId="0" applyFill="1" applyBorder="1"/>
    <xf numFmtId="0" fontId="1" fillId="10" borderId="10" xfId="0" applyFont="1" applyFill="1" applyBorder="1"/>
    <xf numFmtId="0" fontId="0" fillId="10" borderId="11" xfId="0" applyFill="1" applyBorder="1"/>
    <xf numFmtId="0" fontId="0" fillId="10" borderId="0" xfId="0" applyFill="1"/>
    <xf numFmtId="0" fontId="0" fillId="10" borderId="3" xfId="0" applyFill="1" applyBorder="1"/>
    <xf numFmtId="0" fontId="1" fillId="10" borderId="11" xfId="0" applyFont="1" applyFill="1" applyBorder="1"/>
    <xf numFmtId="2" fontId="1" fillId="10" borderId="2" xfId="0" applyNumberFormat="1" applyFont="1" applyFill="1" applyBorder="1"/>
    <xf numFmtId="0" fontId="2" fillId="10" borderId="0" xfId="0" applyFont="1" applyFill="1"/>
    <xf numFmtId="0" fontId="1" fillId="10" borderId="12" xfId="0" applyFont="1" applyFill="1" applyBorder="1"/>
    <xf numFmtId="2" fontId="1" fillId="10" borderId="0" xfId="0" applyNumberFormat="1" applyFont="1" applyFill="1"/>
    <xf numFmtId="2" fontId="0" fillId="0" borderId="0" xfId="0" applyNumberFormat="1"/>
    <xf numFmtId="0" fontId="0" fillId="11" borderId="0" xfId="0" applyFill="1"/>
    <xf numFmtId="2" fontId="0" fillId="11" borderId="0" xfId="0" applyNumberFormat="1" applyFill="1"/>
    <xf numFmtId="0" fontId="3" fillId="11" borderId="0" xfId="0" applyFont="1" applyFill="1"/>
    <xf numFmtId="2" fontId="1" fillId="11" borderId="0" xfId="0" applyNumberFormat="1" applyFont="1" applyFill="1"/>
    <xf numFmtId="2" fontId="1" fillId="11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sai, Sohil" id="{74D342D5-AD74-D748-AED6-4F6E96D88B21}" userId="S::sd3515@cumc.columbia.edu::04b3420e-5c6b-43bc-8ae1-7991b71f434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5-14T16:11:28.91" personId="{74D342D5-AD74-D748-AED6-4F6E96D88B21}" id="{3D607AF0-4459-DC4E-B553-A7B431AA67B0}">
    <text>Full data + healthy preseason (VISA-P above 80, no PT tenderness); potential also with no JUMPHX, but part of the issue is it fluctuates</text>
  </threadedComment>
  <threadedComment ref="K1" dT="2022-04-04T19:45:24.07" personId="{74D342D5-AD74-D748-AED6-4F6E96D88B21}" id="{C9E579A1-8255-7044-9A82-1FB6278844E3}">
    <text>Age at preseason</text>
  </threadedComment>
  <threadedComment ref="L1" dT="2022-05-11T19:59:14.54" personId="{74D342D5-AD74-D748-AED6-4F6E96D88B21}" id="{94195C5F-0BE3-2842-986A-D14E4B57D3DD}">
    <text>G = 1, F = 2</text>
  </threadedComment>
  <threadedComment ref="R1" dT="2022-02-01T19:25:59.76" personId="{74D342D5-AD74-D748-AED6-4F6E96D88B21}" id="{CBA7F990-A1AD-6749-ACEB-E18E2B9D11CA}">
    <text>Lot of players unsure; may not be great data</text>
  </threadedComment>
  <threadedComment ref="AU1" dT="2022-05-12T23:14:49.43" personId="{74D342D5-AD74-D748-AED6-4F6E96D88B21}" id="{629F5469-AB02-6747-9984-FFC34709BC1D}">
    <text>Trip to training room</text>
  </threadedComment>
  <threadedComment ref="AW1" dT="2022-05-12T23:15:02.89" personId="{74D342D5-AD74-D748-AED6-4F6E96D88B21}" id="{5E22D343-9849-7F41-A528-3396B8A43A8B}">
    <text>Tendon thickness &gt;11.45mm</text>
  </threadedComment>
  <threadedComment ref="AX1" dT="2022-05-12T23:15:24.97" personId="{74D342D5-AD74-D748-AED6-4F6E96D88B21}" id="{3C319064-90FD-B846-B594-C1A265DD9182}">
    <text>VISA-P &lt;80 at either mid or post season</text>
  </threadedComment>
  <threadedComment ref="AY1" dT="2022-05-12T23:15:39.00" personId="{74D342D5-AD74-D748-AED6-4F6E96D88B21}" id="{E916414B-C761-B744-88A7-8608F474DC79}">
    <text>VISA-P &lt;70 at either mid or post season</text>
  </threadedComment>
  <threadedComment ref="BC1" dT="2022-05-14T17:08:44.56" personId="{74D342D5-AD74-D748-AED6-4F6E96D88B21}" id="{B932F904-2054-D749-A5CC-56C2D9582CA7}">
    <text>Hypoechoic region at mid or postseason US</text>
  </threadedComment>
  <threadedComment ref="S2" dT="2022-01-12T17:30:51.87" personId="{74D342D5-AD74-D748-AED6-4F6E96D88B21}" id="{BF062A53-7579-2248-8237-EBF78594EE54}">
    <text>All symptoms same from Midseason; write same info</text>
  </threadedComment>
  <threadedComment ref="AQ4" dT="2022-04-06T20:38:31.15" personId="{74D342D5-AD74-D748-AED6-4F6E96D88B21}" id="{773E5853-862B-9C47-B216-CB8FE7F6E030}">
    <text>Mild PPTT likely</text>
  </threadedComment>
  <threadedComment ref="P5" dT="2021-11-08T18:03:56.81" personId="{74D342D5-AD74-D748-AED6-4F6E96D88B21}" id="{59C57F87-1A76-EA4E-A286-2B7BBCD8CE21}">
    <text>PRP 2 months prior</text>
  </threadedComment>
  <threadedComment ref="AP5" dT="2022-04-06T20:36:33.85" personId="{74D342D5-AD74-D748-AED6-4F6E96D88B21}" id="{26ADEA98-15B3-7649-8397-398E7C6806E3}">
    <text>Mild PT likely</text>
  </threadedComment>
  <threadedComment ref="AQ5" dT="2022-04-06T20:36:41.02" personId="{74D342D5-AD74-D748-AED6-4F6E96D88B21}" id="{879D0853-BCA0-8646-93E9-86BD10DF783F}">
    <text>Mild PT likely</text>
  </threadedComment>
  <threadedComment ref="AH6" dT="2022-01-13T20:10:01.41" personId="{74D342D5-AD74-D748-AED6-4F6E96D88B21}" id="{358F3940-4B23-184F-900E-FE05E691BD14}">
    <text>PPTT?</text>
  </threadedComment>
  <threadedComment ref="AH6" dT="2022-05-14T21:15:12.87" personId="{74D342D5-AD74-D748-AED6-4F6E96D88B21}" id="{E3FE00FC-3B3D-D34B-90D4-D1B8F18FC9C3}" parentId="{358F3940-4B23-184F-900E-FE05E691BD14}">
    <text>HE region</text>
  </threadedComment>
  <threadedComment ref="AP6" dT="2022-04-06T20:42:12.62" personId="{74D342D5-AD74-D748-AED6-4F6E96D88B21}" id="{04D0BF5D-C7B2-F843-8608-188BCAB2A4F9}">
    <text>Moderate PPTT likely</text>
  </threadedComment>
  <threadedComment ref="X7" dT="2021-11-04T12:00:37.27" personId="{74D342D5-AD74-D748-AED6-4F6E96D88B21}" id="{CE73E046-D14C-7C4F-A3AF-E03176210EBB}">
    <text>PPTT?</text>
  </threadedComment>
  <threadedComment ref="BD7" dT="2021-11-04T12:00:37.27" personId="{74D342D5-AD74-D748-AED6-4F6E96D88B21}" id="{5FAA9F01-CAEE-3241-817A-E8CFD25E1630}">
    <text>PPTT?</text>
  </threadedComment>
  <threadedComment ref="BF7" dT="2021-11-04T12:00:37.27" personId="{74D342D5-AD74-D748-AED6-4F6E96D88B21}" id="{1558BD3A-EC83-C64F-AA40-36D65D9CA37E}">
    <text>PPTT?</text>
  </threadedComment>
  <threadedComment ref="AP8" dT="2022-05-11T21:01:59.12" personId="{74D342D5-AD74-D748-AED6-4F6E96D88B21}" id="{88B01C06-8AEE-894F-851C-8C866FCB8A94}">
    <text>Moderate PPTT</text>
  </threadedComment>
  <threadedComment ref="AQ8" dT="2022-05-11T21:02:05.63" personId="{74D342D5-AD74-D748-AED6-4F6E96D88B21}" id="{9E61236A-50AC-B842-BBFE-AE5861F43D52}">
    <text>Moderate PPTT</text>
  </threadedComment>
  <threadedComment ref="AP9" dT="2022-05-11T20:55:06.92" personId="{74D342D5-AD74-D748-AED6-4F6E96D88B21}" id="{79839262-5DF4-5C47-8632-8ADEFC81A58B}">
    <text>PPTT likely</text>
  </threadedComment>
  <threadedComment ref="P10" dT="2022-04-11T13:27:58.08" personId="{74D342D5-AD74-D748-AED6-4F6E96D88B21}" id="{E6CED131-7D78-9A46-B277-308C423D98FD}">
    <text>R knee jumper’s knee hx; physical therapy only; no injection/surgery</text>
  </threadedComment>
  <threadedComment ref="X13" dT="2021-11-08T18:31:54.88" personId="{74D342D5-AD74-D748-AED6-4F6E96D88B21}" id="{2B648C18-CD45-4F4C-BEFB-1896A006DD30}">
    <text>Edema posterior to tendon? vs large PPTT</text>
  </threadedComment>
  <threadedComment ref="BD13" dT="2021-11-08T18:31:54.88" personId="{74D342D5-AD74-D748-AED6-4F6E96D88B21}" id="{1DEEF447-B38D-6E4B-9356-742E08F5C918}">
    <text>Edema posterior to tendon? vs large PPTT</text>
  </threadedComment>
  <threadedComment ref="BF13" dT="2021-11-08T18:31:54.88" personId="{74D342D5-AD74-D748-AED6-4F6E96D88B21}" id="{6F603BB5-FE8F-6848-9C8E-A20C6C27E8A5}">
    <text>Edema posterior to tendon? vs large PPTT</text>
  </threadedComment>
  <threadedComment ref="AG14" dT="2022-01-13T19:55:16.88" personId="{74D342D5-AD74-D748-AED6-4F6E96D88B21}" id="{7A2C8A8E-47A6-D24B-BBD8-E89AE66804B0}">
    <text>PPTT likely</text>
  </threadedComment>
  <threadedComment ref="AH14" dT="2022-01-13T19:55:31.34" personId="{74D342D5-AD74-D748-AED6-4F6E96D88B21}" id="{ED0F300A-8D43-0C4E-8014-9A44505E3380}">
    <text>PPTT likely</text>
  </threadedComment>
  <threadedComment ref="AP14" dT="2022-04-06T21:02:39.37" personId="{74D342D5-AD74-D748-AED6-4F6E96D88B21}" id="{828D1FA2-ED58-BC43-B31D-5F447F32D6A4}">
    <text>Moderate PPTT likely</text>
  </threadedComment>
  <threadedComment ref="AQ14" dT="2022-04-06T21:02:47.88" personId="{74D342D5-AD74-D748-AED6-4F6E96D88B21}" id="{47DDEA16-C6F3-924C-A7D4-A06E80DD3D87}">
    <text>Moderate PPTT likely</text>
  </threadedComment>
  <threadedComment ref="AE15" dT="2022-01-13T19:47:45.41" personId="{74D342D5-AD74-D748-AED6-4F6E96D88B21}" id="{8268A51F-FEDD-0D4B-B223-2DC2873FFBA7}">
    <text>Slightly enlarged TT since preseason per player history</text>
  </threadedComment>
  <threadedComment ref="Q16" dT="2021-11-04T12:25:08.43" personId="{74D342D5-AD74-D748-AED6-4F6E96D88B21}" id="{ADC59059-DDB6-7A4B-9452-C4DC1FC8DE72}">
    <text>R knee arthroscopy for meniscus</text>
  </threadedComment>
  <threadedComment ref="X17" dT="2021-11-04T11:59:37.13" personId="{74D342D5-AD74-D748-AED6-4F6E96D88B21}" id="{4C034749-E25C-2342-9F88-216A3D1D0BF2}">
    <text>PPTT? Hypoechoic region within tendon</text>
  </threadedComment>
  <threadedComment ref="X17" dT="2022-05-14T21:24:11.01" personId="{74D342D5-AD74-D748-AED6-4F6E96D88B21}" id="{44F10014-3531-424C-8DDE-6DF75D226866}" parentId="{4C034749-E25C-2342-9F88-216A3D1D0BF2}">
    <text>Mild focal HE region</text>
  </threadedComment>
  <threadedComment ref="Y17" dT="2022-05-14T21:23:55.21" personId="{74D342D5-AD74-D748-AED6-4F6E96D88B21}" id="{FB89145B-5619-7A4B-B596-7C6023A6FC14}">
    <text>Mild focal HE region</text>
  </threadedComment>
  <threadedComment ref="AP17" dT="2022-04-11T13:05:51.44" personId="{74D342D5-AD74-D748-AED6-4F6E96D88B21}" id="{4CAEF3E8-FCA0-BF45-B6DB-880BE1F7E853}">
    <text>PPTT likely</text>
  </threadedComment>
  <threadedComment ref="BD17" dT="2021-11-04T11:59:37.13" personId="{74D342D5-AD74-D748-AED6-4F6E96D88B21}" id="{6137F760-11DF-3347-9E88-C892C8CEC592}">
    <text>PPTT? Hypoechoic region within tendon</text>
  </threadedComment>
  <threadedComment ref="BD17" dT="2022-05-14T21:24:11.01" personId="{74D342D5-AD74-D748-AED6-4F6E96D88B21}" id="{BB497EB4-B81D-3445-A0B6-E81BD5B17333}" parentId="{6137F760-11DF-3347-9E88-C892C8CEC592}">
    <text>Mild focal HE region</text>
  </threadedComment>
  <threadedComment ref="BF17" dT="2021-11-04T11:59:37.13" personId="{74D342D5-AD74-D748-AED6-4F6E96D88B21}" id="{D8211E40-B755-4947-968A-9B1F71ADEF0E}">
    <text>PPTT? Hypoechoic region within tendon</text>
  </threadedComment>
  <threadedComment ref="BF17" dT="2022-05-14T21:24:11.01" personId="{74D342D5-AD74-D748-AED6-4F6E96D88B21}" id="{8481D81F-F70C-114D-9CF1-9D30F5770E81}" parentId="{D8211E40-B755-4947-968A-9B1F71ADEF0E}">
    <text>Mild focal HE region</text>
  </threadedComment>
  <threadedComment ref="BG17" dT="2022-05-14T21:23:55.21" personId="{74D342D5-AD74-D748-AED6-4F6E96D88B21}" id="{F8242201-5CEE-EE44-B5F6-A30B1252721A}">
    <text>Mild focal HE region</text>
  </threadedComment>
  <threadedComment ref="AP18" dT="2022-04-06T20:55:27.79" personId="{74D342D5-AD74-D748-AED6-4F6E96D88B21}" id="{CE07D8D4-0B6C-3F45-8D0B-F033430CAD5D}">
    <text>Mild hypoechogenic region</text>
  </threadedComment>
  <threadedComment ref="AP18" dT="2022-05-14T21:27:03.90" personId="{74D342D5-AD74-D748-AED6-4F6E96D88B21}" id="{6C8B2F03-B7A9-3245-92BF-1665769455D4}" parentId="{CE07D8D4-0B6C-3F45-8D0B-F033430CAD5D}">
    <text>Likely superficial tendon anisotropy</text>
  </threadedComment>
  <threadedComment ref="AQ18" dT="2022-04-06T20:55:39.75" personId="{74D342D5-AD74-D748-AED6-4F6E96D88B21}" id="{D89CA04F-9889-7C48-A306-C305DE259163}">
    <text>Mild hypoechogenic region</text>
  </threadedComment>
  <threadedComment ref="AQ18" dT="2022-05-14T21:27:15.87" personId="{74D342D5-AD74-D748-AED6-4F6E96D88B21}" id="{97EEFCE4-AF5B-BC43-B8F7-64238151A4C5}" parentId="{D89CA04F-9889-7C48-A306-C305DE259163}">
    <text>Likely superficial tendon anisotropy</text>
  </threadedComment>
  <threadedComment ref="A20" dT="2021-11-08T18:52:22.72" personId="{74D342D5-AD74-D748-AED6-4F6E96D88B21}" id="{28F30090-D5A0-5A40-BD29-36F673C6192A}">
    <text>Exclude</text>
  </threadedComment>
  <threadedComment ref="Q20" dT="2021-11-08T18:49:47.61" personId="{74D342D5-AD74-D748-AED6-4F6E96D88B21}" id="{71326748-3D5F-D940-9D22-499A0C372F0B}">
    <text>2x R PT debridement</text>
  </threadedComment>
  <threadedComment ref="A21" dT="2021-11-08T18:52:22.72" personId="{74D342D5-AD74-D748-AED6-4F6E96D88B21}" id="{9A4A6B2C-3EFB-0143-8CE0-9E8783B2B617}">
    <text>Exclude</text>
  </threadedComment>
  <threadedComment ref="Q21" dT="2021-11-08T18:49:47.61" personId="{74D342D5-AD74-D748-AED6-4F6E96D88B21}" id="{0192A892-2339-394A-8F12-078BD6215686}">
    <text>1x L PT debridement</text>
  </threadedComment>
  <threadedComment ref="R22" dT="2021-11-04T12:32:33.08" personId="{74D342D5-AD74-D748-AED6-4F6E96D88B21}" id="{90AA8EB9-35E2-3D40-828B-4F3BB7B8DB85}">
    <text>Bilateral enlarged TT on exam</text>
  </threadedComment>
  <threadedComment ref="R23" dT="2021-11-04T12:32:33.08" personId="{74D342D5-AD74-D748-AED6-4F6E96D88B21}" id="{8995ABE5-2242-B847-8E8C-9556E2FB8694}">
    <text>Bilateral enlarged TT on exam</text>
  </threadedComment>
  <threadedComment ref="AP23" dT="2022-04-06T21:14:18.57" personId="{74D342D5-AD74-D748-AED6-4F6E96D88B21}" id="{5FFBAD24-75A9-3F42-A100-18F667C4EE91}">
    <text>Moderate PPTT likely</text>
  </threadedComment>
  <threadedComment ref="AQ23" dT="2022-04-06T21:14:27.28" personId="{74D342D5-AD74-D748-AED6-4F6E96D88B21}" id="{754371B8-7DC9-0B40-B754-E2BA40B2BE6B}">
    <text>Moderate PPTT likely</text>
  </threadedComment>
  <threadedComment ref="R26" dT="2021-11-04T12:34:41.54" personId="{74D342D5-AD74-D748-AED6-4F6E96D88B21}" id="{6FE4836A-3943-1E48-8BC5-21C8BF1E2ABF}">
    <text>Ultrasound confirmed bilateral</text>
  </threadedComment>
  <threadedComment ref="AG26" dT="2022-01-13T19:59:28.49" personId="{74D342D5-AD74-D748-AED6-4F6E96D88B21}" id="{5BF6201F-2CFE-DF4E-BE1B-48383C0A326B}">
    <text>PPTT grade 2</text>
  </threadedComment>
  <threadedComment ref="AH26" dT="2022-01-13T19:59:36.18" personId="{74D342D5-AD74-D748-AED6-4F6E96D88B21}" id="{D67D56D7-49D3-FE49-801F-B155CEC80966}">
    <text>PPTT grade 2</text>
  </threadedComment>
  <threadedComment ref="AP26" dT="2022-05-11T21:06:02.44" personId="{74D342D5-AD74-D748-AED6-4F6E96D88B21}" id="{206EF4A6-A1D0-104D-97F8-03BB8A67DEA5}">
    <text>Mild PPTT</text>
  </threadedComment>
  <threadedComment ref="AQ26" dT="2022-05-11T21:06:11.99" personId="{74D342D5-AD74-D748-AED6-4F6E96D88B21}" id="{1F6287C1-9E61-7F43-9E92-31563C92D7FD}">
    <text>Mild PPTT</text>
  </threadedComment>
  <threadedComment ref="BD26" dT="2021-11-04T12:14:57.41" personId="{74D342D5-AD74-D748-AED6-4F6E96D88B21}" id="{9DC0C90E-12ED-394B-8BED-9B789464C3B3}">
    <text>PPTT?</text>
  </threadedComment>
  <threadedComment ref="BF26" dT="2021-11-04T12:14:57.41" personId="{74D342D5-AD74-D748-AED6-4F6E96D88B21}" id="{26ABC907-C7A9-E744-A957-466BEDB34FDD}">
    <text>PPTT?</text>
  </threadedComment>
  <threadedComment ref="BG26" dT="2021-11-04T12:16:31.37" personId="{74D342D5-AD74-D748-AED6-4F6E96D88B21}" id="{A0E7DC60-4AC3-AD42-A87E-B27F2ACBD475}">
    <text>PPTT?</text>
  </threadedComment>
  <threadedComment ref="P27" dT="2021-11-04T12:35:08.01" personId="{74D342D5-AD74-D748-AED6-4F6E96D88B21}" id="{A8CA5A98-D001-5A4B-8669-779643C68E73}">
    <text>2 years ago; received 2x PRP</text>
  </threadedComment>
  <threadedComment ref="R27" dT="2021-11-04T12:34:41.54" personId="{74D342D5-AD74-D748-AED6-4F6E96D88B21}" id="{0101EF45-B1AA-1F44-B2BB-BC757EC5FBA7}">
    <text>Ask him “which knee” and examine</text>
  </threadedComment>
  <threadedComment ref="AP27" dT="2022-05-11T21:04:07.55" personId="{74D342D5-AD74-D748-AED6-4F6E96D88B21}" id="{FDB33620-397D-0141-B9E3-460C3BCDC610}">
    <text>PPTT likeley</text>
  </threadedComment>
  <threadedComment ref="AQ27" dT="2022-05-11T21:04:22.08" personId="{74D342D5-AD74-D748-AED6-4F6E96D88B21}" id="{A3E56CAC-5B3A-E041-B797-6B2994AB4F8C}">
    <text xml:space="preserve">PPTT most likely </text>
  </threadedComment>
  <threadedComment ref="BG27" dT="2021-11-04T12:14:32.39" personId="{74D342D5-AD74-D748-AED6-4F6E96D88B21}" id="{4803CCC5-A44E-7C48-9A31-7D1D38FC0124}">
    <text>Possible early stage PPTT</text>
  </threadedComment>
  <threadedComment ref="P28" dT="2021-11-04T12:37:52.71" personId="{74D342D5-AD74-D748-AED6-4F6E96D88B21}" id="{E6D37DE1-FFE9-974A-A5BB-1B613E25D369}">
    <text>R knee jumper’s knee hx s/p PRP shots; no other treatment/no hx on L</text>
  </threadedComment>
  <threadedComment ref="X28" dT="2021-11-04T12:14:57.41" personId="{74D342D5-AD74-D748-AED6-4F6E96D88B21}" id="{4BCCA5D7-765E-AA48-BE08-AB5F0E74774F}">
    <text>PPTT?</text>
  </threadedComment>
  <threadedComment ref="Y28" dT="2021-11-04T12:16:31.37" personId="{74D342D5-AD74-D748-AED6-4F6E96D88B21}" id="{1D68B959-A100-3741-A149-34AFD48B910A}">
    <text>PPTT?</text>
  </threadedComment>
  <threadedComment ref="AG28" dT="2022-01-21T20:14:41.96" personId="{74D342D5-AD74-D748-AED6-4F6E96D88B21}" id="{E75F70C7-0B0E-1942-BDD2-80E4788F4DEA}">
    <text>PPTT likely</text>
  </threadedComment>
  <threadedComment ref="AH28" dT="2022-02-01T19:27:04.30" personId="{74D342D5-AD74-D748-AED6-4F6E96D88B21}" id="{130E113A-5752-254F-89D6-5FD0DAE72E49}">
    <text>PPTT likely</text>
  </threadedComment>
  <threadedComment ref="AP28" dT="2022-04-11T13:21:54.15" personId="{74D342D5-AD74-D748-AED6-4F6E96D88B21}" id="{1EFD9DE2-545D-C34B-917E-90FFCFA3C667}">
    <text>PPTT</text>
  </threadedComment>
  <threadedComment ref="Y29" dT="2021-11-04T12:14:32.39" personId="{74D342D5-AD74-D748-AED6-4F6E96D88B21}" id="{573E5BE3-6E02-AB49-A1AC-EAD79FFD45FC}">
    <text>Possible early stage PPTT</text>
  </threadedComment>
  <threadedComment ref="AG29" dT="2022-01-21T20:14:57.03" personId="{74D342D5-AD74-D748-AED6-4F6E96D88B21}" id="{72CBA9CB-E2EE-EA49-AA8F-EF24669971E0}">
    <text>PPTT likely</text>
  </threadedComment>
  <threadedComment ref="AH29" dT="2022-02-01T19:20:33.12" personId="{74D342D5-AD74-D748-AED6-4F6E96D88B21}" id="{5985A400-1E95-C746-BB5F-451175567E0B}">
    <text>PPTT likely</text>
  </threadedComment>
  <threadedComment ref="AP29" dT="2022-04-11T13:20:09.36" personId="{74D342D5-AD74-D748-AED6-4F6E96D88B21}" id="{0FDC2B44-28FB-1B40-BC2C-646409D66611}">
    <text>PPTT</text>
  </threadedComment>
  <threadedComment ref="AQ29" dT="2022-04-11T13:20:14.50" personId="{74D342D5-AD74-D748-AED6-4F6E96D88B21}" id="{755F2A65-3149-1140-A67C-4424F0A13DF2}">
    <text>PPTT</text>
  </threadedComment>
  <threadedComment ref="BD30" dT="2021-11-08T19:01:25.53" personId="{74D342D5-AD74-D748-AED6-4F6E96D88B21}" id="{4907F2D2-5C1B-4246-8280-3BFCAE5153AF}">
    <text>Possible PPTT</text>
  </threadedComment>
  <threadedComment ref="BF30" dT="2021-11-08T19:01:25.53" personId="{74D342D5-AD74-D748-AED6-4F6E96D88B21}" id="{B125D3E2-2FA1-7C42-986A-4E642EDBD398}">
    <text>Possible PPTT</text>
  </threadedComment>
  <threadedComment ref="BG30" dT="2021-11-08T19:01:33.20" personId="{74D342D5-AD74-D748-AED6-4F6E96D88B21}" id="{A6090D6C-1E4A-8240-B590-0CD07AC16148}">
    <text>Possible PPTT</text>
  </threadedComment>
  <threadedComment ref="BD31" dT="2021-11-08T19:00:14.81" personId="{74D342D5-AD74-D748-AED6-4F6E96D88B21}" id="{A3389D33-2E2B-1C42-A10E-F4E7FFB8872E}">
    <text>Possible PPTT</text>
  </threadedComment>
  <threadedComment ref="BF31" dT="2021-11-08T19:00:14.81" personId="{74D342D5-AD74-D748-AED6-4F6E96D88B21}" id="{3678E6D3-11A3-4249-8D5F-D58E5A239036}">
    <text>Possible PPTT</text>
  </threadedComment>
  <threadedComment ref="BG31" dT="2021-11-08T19:00:21.52" personId="{74D342D5-AD74-D748-AED6-4F6E96D88B21}" id="{A651BA43-DF9E-2D4B-87BE-50519C85CB2C}">
    <text>Possible PPTT</text>
  </threadedComment>
  <threadedComment ref="R32" dT="2021-11-08T19:02:20.38" personId="{74D342D5-AD74-D748-AED6-4F6E96D88B21}" id="{9553307F-2F6D-0B4D-A9CB-9E05D6A268CA}">
    <text>Which?</text>
  </threadedComment>
  <threadedComment ref="X32" dT="2021-11-08T19:01:25.53" personId="{74D342D5-AD74-D748-AED6-4F6E96D88B21}" id="{3B6CE19D-5986-A34F-BC99-2DE9BCCA606C}">
    <text>Possible PPTT</text>
  </threadedComment>
  <threadedComment ref="Y32" dT="2021-11-08T19:01:33.20" personId="{74D342D5-AD74-D748-AED6-4F6E96D88B21}" id="{E591571E-6C58-B743-BA11-9B5D22F8BA60}">
    <text>Possible PPTT</text>
  </threadedComment>
  <threadedComment ref="AE32" dT="2022-01-12T23:23:16.63" personId="{74D342D5-AD74-D748-AED6-4F6E96D88B21}" id="{810F8520-D18B-C44C-A79C-DCBD6B80ACE5}">
    <text>TT more painful than PP</text>
  </threadedComment>
  <threadedComment ref="AG32" dT="2022-05-14T21:22:39.56" personId="{74D342D5-AD74-D748-AED6-4F6E96D88B21}" id="{5134487C-D238-D94E-8AA9-6DF57D14F624}">
    <text>No HE noted</text>
  </threadedComment>
  <threadedComment ref="AL32" dT="2022-04-06T20:21:19.66" personId="{74D342D5-AD74-D748-AED6-4F6E96D88B21}" id="{8FDD4C21-A45A-564C-B093-0BB0F35DC538}">
    <text>Sprained ACL</text>
  </threadedComment>
  <threadedComment ref="R33" dT="2021-11-08T19:02:20.38" personId="{74D342D5-AD74-D748-AED6-4F6E96D88B21}" id="{28834C8B-251F-754B-94D8-4B93ABAC1011}">
    <text>Which?</text>
  </threadedComment>
  <threadedComment ref="X33" dT="2021-11-08T19:00:14.81" personId="{74D342D5-AD74-D748-AED6-4F6E96D88B21}" id="{0FE4C2EA-F937-ED40-8292-A3EC289A8A11}">
    <text>Possible PPTT</text>
  </threadedComment>
  <threadedComment ref="Y33" dT="2021-11-08T19:00:21.52" personId="{74D342D5-AD74-D748-AED6-4F6E96D88B21}" id="{B9A799A1-0212-5D4A-8DC9-033141D452FE}">
    <text>Possible PPTT</text>
  </threadedComment>
  <threadedComment ref="AE33" dT="2022-01-12T23:23:25.49" personId="{74D342D5-AD74-D748-AED6-4F6E96D88B21}" id="{A880D8F2-3BA9-A74B-A779-71092F7B21AB}">
    <text>TT more painful than PP</text>
  </threadedComment>
  <threadedComment ref="AG33" dT="2022-05-14T21:22:29.15" personId="{74D342D5-AD74-D748-AED6-4F6E96D88B21}" id="{292D2F95-4E84-5C4F-857A-0751327FB154}">
    <text>Mild PPTT</text>
  </threadedComment>
  <threadedComment ref="AP33" dT="2022-04-06T20:44:51.81" personId="{74D342D5-AD74-D748-AED6-4F6E96D88B21}" id="{FBA45342-B2A9-4C4B-900A-39C9A3BCE96F}">
    <text>PPTT likely</text>
  </threadedComment>
  <threadedComment ref="R34" dT="2021-11-04T12:51:55.29" personId="{74D342D5-AD74-D748-AED6-4F6E96D88B21}" id="{EC47F2B6-7708-194A-985D-F3844B30D079}">
    <text>Evaluate L knee TT size next time</text>
  </threadedComment>
  <threadedComment ref="AG34" dT="2022-01-12T23:57:09.28" personId="{74D342D5-AD74-D748-AED6-4F6E96D88B21}" id="{43BBE011-F961-574E-BC00-0FF0BAAA48BB}">
    <text>PPTT likely</text>
  </threadedComment>
  <threadedComment ref="AH34" dT="2022-01-12T23:57:16.57" personId="{74D342D5-AD74-D748-AED6-4F6E96D88B21}" id="{1B3593E7-D883-CA42-90FC-FCE1B2CDAC91}">
    <text>PPTT likely</text>
  </threadedComment>
  <threadedComment ref="AP34" dT="2022-05-12T17:05:19.01" personId="{74D342D5-AD74-D748-AED6-4F6E96D88B21}" id="{ECFBBFB8-AA06-8349-8D31-C1071A464075}">
    <text>Mild PPTT likely</text>
  </threadedComment>
  <threadedComment ref="AQ34" dT="2022-05-12T17:05:28.31" personId="{74D342D5-AD74-D748-AED6-4F6E96D88B21}" id="{7A4C99B0-0CBA-BC40-A1EE-6D0C6BC98273}">
    <text>Mild PPTT likely</text>
  </threadedComment>
  <threadedComment ref="R35" dT="2021-11-04T12:51:55.29" personId="{74D342D5-AD74-D748-AED6-4F6E96D88B21}" id="{B44EB9AC-E1DD-0C45-9554-34CEAE17E7B2}">
    <text>Evaluate L knee TT size next time</text>
  </threadedComment>
  <threadedComment ref="AP35" dT="2022-05-12T17:03:36.19" personId="{74D342D5-AD74-D748-AED6-4F6E96D88B21}" id="{0B19332D-0A3F-AF40-AC04-65F7C7E9F58B}">
    <text>Hypoechoic region; PPTT likely</text>
  </threadedComment>
  <threadedComment ref="AQ35" dT="2022-05-12T17:03:48.58" personId="{74D342D5-AD74-D748-AED6-4F6E96D88B21}" id="{DFC55854-3F71-C546-9B42-430691D4BA4A}">
    <text>Hypoechoic region; PPTT likely</text>
  </threadedComment>
  <threadedComment ref="BD36" dT="2022-05-14T19:38:16.13" personId="{74D342D5-AD74-D748-AED6-4F6E96D88B21}" id="{DC221971-7E5F-5241-90A3-1E8FB3F8C682}">
    <text>Mild/moderate PPTT/hypoechogenicity</text>
  </threadedComment>
  <threadedComment ref="BF36" dT="2022-05-14T19:38:16.13" personId="{74D342D5-AD74-D748-AED6-4F6E96D88B21}" id="{17D35E48-8655-704A-AF81-45C82EDC3D2A}">
    <text>Mild/moderate PPTT/hypoechogenicity</text>
  </threadedComment>
  <threadedComment ref="BD37" dT="2021-11-08T19:32:51.68" personId="{74D342D5-AD74-D748-AED6-4F6E96D88B21}" id="{9B8C88B9-F2F4-C545-8A72-8F8BBF6FC72C}">
    <text>large hypoechoic region deep to tendon vs. PPTT</text>
  </threadedComment>
  <threadedComment ref="BF37" dT="2021-11-08T19:32:51.68" personId="{74D342D5-AD74-D748-AED6-4F6E96D88B21}" id="{DBF95F86-2716-BD4D-99CF-9395AB720FA3}">
    <text>large hypoechoic region deep to tendon vs. PPTT</text>
  </threadedComment>
  <threadedComment ref="BG37" dT="2021-11-08T19:33:01.62" personId="{74D342D5-AD74-D748-AED6-4F6E96D88B21}" id="{114C22DD-6CCD-C245-BF04-6F4054FE9D1E}">
    <text>large hypoechoic region deep to tendon vs. PPTT</text>
  </threadedComment>
  <threadedComment ref="X38" dT="2022-05-14T19:38:16.13" personId="{74D342D5-AD74-D748-AED6-4F6E96D88B21}" id="{5701661D-6956-A74F-A7AE-80E6D1B3466E}">
    <text>Mild/moderate PPTT/hypoechogenicity</text>
  </threadedComment>
  <threadedComment ref="AG38" dT="2022-02-01T15:19:23.63" personId="{74D342D5-AD74-D748-AED6-4F6E96D88B21}" id="{AF801097-D1DE-774C-B257-2DD032481D0D}">
    <text>PPTT likely</text>
  </threadedComment>
  <threadedComment ref="AH38" dT="2022-02-01T15:19:32.19" personId="{74D342D5-AD74-D748-AED6-4F6E96D88B21}" id="{003655AE-043B-0148-B841-34D908F3C60C}">
    <text>PPTT likely</text>
  </threadedComment>
  <threadedComment ref="AP38" dT="2022-04-06T21:41:56.04" personId="{74D342D5-AD74-D748-AED6-4F6E96D88B21}" id="{CE82D26B-5889-114D-B15C-E36AF0F9615E}">
    <text>Moderate PPTT</text>
  </threadedComment>
  <threadedComment ref="AQ38" dT="2022-04-06T21:42:04.14" personId="{74D342D5-AD74-D748-AED6-4F6E96D88B21}" id="{119165BA-6160-C14F-97B7-6997C46CFC79}">
    <text>Moderate PPTT</text>
  </threadedComment>
  <threadedComment ref="Q39" dT="2021-11-08T19:14:22.62" personId="{74D342D5-AD74-D748-AED6-4F6E96D88B21}" id="{AB951CB0-1D6A-3640-BE8F-909646823192}">
    <text>L knee patellar tendon surgery</text>
  </threadedComment>
  <threadedComment ref="X39" dT="2022-02-01T15:08:22.75" personId="{74D342D5-AD74-D748-AED6-4F6E96D88B21}" id="{1EBF6401-0A8A-7D49-893A-44FF3DC2AF24}">
    <text>Anchors in place</text>
  </threadedComment>
  <threadedComment ref="Y39" dT="2022-02-01T15:08:29.76" personId="{74D342D5-AD74-D748-AED6-4F6E96D88B21}" id="{18BCAD51-96AC-064E-A291-5513F08CD2C9}">
    <text>Anchors in place</text>
  </threadedComment>
  <threadedComment ref="AG39" dT="2022-02-01T15:10:11.70" personId="{74D342D5-AD74-D748-AED6-4F6E96D88B21}" id="{F178C64F-1B38-E645-A7D5-CFB4E773993B}">
    <text>Anchors in place</text>
  </threadedComment>
  <threadedComment ref="AH39" dT="2022-02-01T15:17:24.39" personId="{74D342D5-AD74-D748-AED6-4F6E96D88B21}" id="{BAFF7797-D052-AE4E-A784-E1F7AD27CCE5}">
    <text>Anchors in place</text>
  </threadedComment>
  <threadedComment ref="X40" dT="2021-11-08T19:32:51.68" personId="{74D342D5-AD74-D748-AED6-4F6E96D88B21}" id="{A8EB0478-349E-EE48-A85E-28ED0160DCD0}">
    <text>large hypoechoic region deep to tendon vs. PPTT</text>
  </threadedComment>
  <threadedComment ref="Y40" dT="2021-11-08T19:33:01.62" personId="{74D342D5-AD74-D748-AED6-4F6E96D88B21}" id="{9EFDBA63-2854-9548-A0EE-79C0EB951F2D}">
    <text>large hypoechoic region deep to tendon vs. PPTT</text>
  </threadedComment>
  <threadedComment ref="Q41" dT="2021-11-08T19:33:48.93" personId="{74D342D5-AD74-D748-AED6-4F6E96D88B21}" id="{97496E09-1E77-A04E-9DAD-89DE70D78ECB}">
    <text>L knee ACL, meniscus, patellar tendon surgery</text>
  </threadedComment>
  <threadedComment ref="X41" dT="2022-02-01T18:32:56.71" personId="{74D342D5-AD74-D748-AED6-4F6E96D88B21}" id="{54FB90E8-9C1A-D547-A124-12EAAEFA6AA4}">
    <text>Hx of PT surgery</text>
  </threadedComment>
  <threadedComment ref="AG41" dT="2022-02-01T18:33:15.33" personId="{74D342D5-AD74-D748-AED6-4F6E96D88B21}" id="{62FEB401-5E05-0F41-B144-D5C1BCAECEA1}">
    <text>Hx of PT surgery; clear sign of enlargement from preseason</text>
  </threadedComment>
  <threadedComment ref="T42" dT="2021-11-08T19:25:09.46" personId="{74D342D5-AD74-D748-AED6-4F6E96D88B21}" id="{9BC99BA6-3C6E-DD4A-8B29-D4211926B630}">
    <text>mild</text>
  </threadedComment>
  <threadedComment ref="AG42" dT="2022-02-01T14:27:26.49" personId="{74D342D5-AD74-D748-AED6-4F6E96D88B21}" id="{C689EF75-3868-9440-85E8-05B328A478BB}">
    <text>PPTT likely</text>
  </threadedComment>
  <threadedComment ref="AH42" dT="2022-02-01T14:27:36.06" personId="{74D342D5-AD74-D748-AED6-4F6E96D88B21}" id="{CE9C3249-E122-4749-9D46-DD18EBA9DB2A}">
    <text>PPTT likely</text>
  </threadedComment>
  <threadedComment ref="AP42" dT="2022-04-06T21:36:14.22" personId="{74D342D5-AD74-D748-AED6-4F6E96D88B21}" id="{1E302C3A-F00E-144B-B261-CB1146D70288}">
    <text>Moderate PPTT</text>
  </threadedComment>
  <threadedComment ref="AQ42" dT="2022-04-06T21:36:21.14" personId="{74D342D5-AD74-D748-AED6-4F6E96D88B21}" id="{EA988A49-689F-2447-A1FE-49946812F43F}">
    <text>Moderate PPTT</text>
  </threadedComment>
  <threadedComment ref="T43" dT="2021-11-08T19:25:14.54" personId="{74D342D5-AD74-D748-AED6-4F6E96D88B21}" id="{42C3D971-6377-9544-BAB0-B11E1FF4EF32}">
    <text>mild</text>
  </threadedComment>
  <threadedComment ref="AG43" dT="2022-02-01T14:21:14.07" personId="{74D342D5-AD74-D748-AED6-4F6E96D88B21}" id="{6FCD8083-FC58-EE44-91FA-0C95CB81DAC9}">
    <text>PPTT</text>
  </threadedComment>
  <threadedComment ref="AH43" dT="2022-02-01T14:21:20.47" personId="{74D342D5-AD74-D748-AED6-4F6E96D88B21}" id="{781999CC-B55C-834C-AA7C-71D0B28CF6AD}">
    <text>PPTT</text>
  </threadedComment>
  <threadedComment ref="AP43" dT="2022-04-06T21:33:04.09" personId="{74D342D5-AD74-D748-AED6-4F6E96D88B21}" id="{740A46D0-A442-6F4E-B27D-2CE935C1FC59}">
    <text>Moderate/severe PPTT</text>
  </threadedComment>
  <threadedComment ref="AQ43" dT="2022-04-06T21:33:12.51" personId="{74D342D5-AD74-D748-AED6-4F6E96D88B21}" id="{2AC6684E-6218-E344-AFDF-ECE36D9E0A35}">
    <text>Moderate/severe PPTT</text>
  </threadedComment>
  <threadedComment ref="A44" dT="2022-01-31T23:39:14.72" personId="{74D342D5-AD74-D748-AED6-4F6E96D88B21}" id="{47803FA5-054B-E743-8816-77CE04827008}">
    <text>Left team midseason</text>
  </threadedComment>
  <threadedComment ref="A45" dT="2022-01-31T23:39:14.72" personId="{74D342D5-AD74-D748-AED6-4F6E96D88B21}" id="{452D8DED-3062-ED4A-8AD5-930159863DA0}">
    <text>Left team midseason</text>
  </threadedComment>
  <threadedComment ref="A46" dT="2022-01-31T23:39:21.31" personId="{74D342D5-AD74-D748-AED6-4F6E96D88B21}" id="{AAE4BC37-0130-8A4F-A9DA-B42F25FB1EFD}">
    <text>Left team midseason</text>
  </threadedComment>
  <threadedComment ref="A47" dT="2022-01-31T23:39:21.31" personId="{74D342D5-AD74-D748-AED6-4F6E96D88B21}" id="{3B2FE6E2-49C6-7F4B-A998-F9D16F7D5CCC}">
    <text>Left team midseason</text>
  </threadedComment>
  <threadedComment ref="AP49" dT="2022-03-31T22:07:55.38" personId="{74D342D5-AD74-D748-AED6-4F6E96D88B21}" id="{24EBE15D-C667-8C46-9F39-00C18AF2B196}">
    <text>Possible small PPTT</text>
  </threadedComment>
  <threadedComment ref="AP49" dT="2022-05-14T17:14:20.17" personId="{74D342D5-AD74-D748-AED6-4F6E96D88B21}" id="{06F51BC0-C70B-DC45-84AD-C96CC9069A1C}" parentId="{24EBE15D-C667-8C46-9F39-00C18AF2B196}">
    <text>Unlikely; superficial tendon region anisotropy</text>
  </threadedComment>
  <threadedComment ref="AP49" dT="2022-08-24T16:46:54.37" personId="{74D342D5-AD74-D748-AED6-4F6E96D88B21}" id="{AC5D6E9F-A7E0-B543-9149-15A39B2F3FA6}" parentId="{24EBE15D-C667-8C46-9F39-00C18AF2B196}">
    <text>Small hypoechoic foci evident</text>
  </threadedComment>
  <threadedComment ref="AQ49" dT="2022-03-31T22:08:03.88" personId="{74D342D5-AD74-D748-AED6-4F6E96D88B21}" id="{AC029712-7A25-0044-ACA5-5373F3604CFC}">
    <text>Possible small PPTT</text>
  </threadedComment>
  <threadedComment ref="A50" dT="2022-01-31T23:39:07.47" personId="{74D342D5-AD74-D748-AED6-4F6E96D88B21}" id="{B3923D60-505F-9A49-AAD4-452DFB7F3EF3}">
    <text>Midseason walkon</text>
  </threadedComment>
  <threadedComment ref="A50" dT="2022-05-12T23:18:05.63" personId="{74D342D5-AD74-D748-AED6-4F6E96D88B21}" id="{4E5324A1-2B99-3642-B651-AC6DAEB00847}" parentId="{B3923D60-505F-9A49-AAD4-452DFB7F3EF3}">
    <text>Most likely just will not use either midseason walkon</text>
  </threadedComment>
  <threadedComment ref="A51" dT="2022-01-31T23:39:07.47" personId="{74D342D5-AD74-D748-AED6-4F6E96D88B21}" id="{89AA3517-D9CF-3940-BA72-9BAC601124A9}">
    <text>Midseason walkon</text>
  </threadedComment>
  <threadedComment ref="AP51" dT="2022-03-31T21:57:51.06" personId="{74D342D5-AD74-D748-AED6-4F6E96D88B21}" id="{0778D6A9-6B52-F34B-A020-CB90F70D7E8A}">
    <text>PPTT possible (based on Ultrasound video)</text>
  </threadedComment>
  <threadedComment ref="BD51" dT="2021-11-08T20:11:02.85" personId="{74D342D5-AD74-D748-AED6-4F6E96D88B21}" id="{D8670152-D866-6E4E-911B-2162978F0D24}">
    <text>Tendon or irrelevant structure posterior?</text>
  </threadedComment>
  <threadedComment ref="BF51" dT="2021-11-08T20:11:02.85" personId="{74D342D5-AD74-D748-AED6-4F6E96D88B21}" id="{886A9ADB-B09D-3846-9EC8-82DD2C7C21FC}">
    <text>Tendon or irrelevant structure posterior?</text>
  </threadedComment>
  <threadedComment ref="BD52" dT="2022-05-14T17:26:02.32" personId="{74D342D5-AD74-D748-AED6-4F6E96D88B21}" id="{D394BCAD-A09F-FE4E-B7BF-E12AE6AC01DD}">
    <text>Mild PPTT</text>
  </threadedComment>
  <threadedComment ref="BF52" dT="2022-05-14T17:26:02.32" personId="{74D342D5-AD74-D748-AED6-4F6E96D88B21}" id="{0F75C264-1347-3C47-A99A-1D45BA48642F}">
    <text>Mild PPTT</text>
  </threadedComment>
  <threadedComment ref="BG52" dT="2022-05-14T17:26:11.07" personId="{74D342D5-AD74-D748-AED6-4F6E96D88B21}" id="{8BA612DB-9FE9-B04E-B692-97641AE31697}">
    <text>Mild PPTT</text>
  </threadedComment>
  <threadedComment ref="BD53" dT="2022-05-14T17:26:16.58" personId="{74D342D5-AD74-D748-AED6-4F6E96D88B21}" id="{2F6380B6-78FC-7343-A5FB-0F535797E3E3}">
    <text>Mild PPTT</text>
  </threadedComment>
  <threadedComment ref="BF53" dT="2022-05-14T17:26:16.58" personId="{74D342D5-AD74-D748-AED6-4F6E96D88B21}" id="{B2AD6E8C-9C78-9D4C-A209-C07F5D0A763B}">
    <text>Mild PPTT</text>
  </threadedComment>
  <threadedComment ref="BG53" dT="2022-05-14T17:26:22.58" personId="{74D342D5-AD74-D748-AED6-4F6E96D88B21}" id="{97C51946-A476-134D-865D-28C07FDD4B87}">
    <text>Mild PPTT</text>
  </threadedComment>
  <threadedComment ref="P56" dT="2022-04-04T19:04:03.48" personId="{74D342D5-AD74-D748-AED6-4F6E96D88B21}" id="{B90C07B1-D09F-1E4D-BBE8-FAF135AF4EB8}">
    <text>Doctor’s visit both knees</text>
  </threadedComment>
  <threadedComment ref="P57" dT="2022-04-04T19:04:03.48" personId="{74D342D5-AD74-D748-AED6-4F6E96D88B21}" id="{9634C28C-C0A3-F940-8D13-8402AA8FCD2A}">
    <text>Doctor’s visit both knees</text>
  </threadedComment>
  <threadedComment ref="X57" dT="2021-11-08T20:11:02.85" personId="{74D342D5-AD74-D748-AED6-4F6E96D88B21}" id="{B0679D52-BEFD-C24B-BC64-AF13E23DAFE5}">
    <text>Tendon or irrelevant structure posterior?</text>
  </threadedComment>
  <threadedComment ref="AG57" dT="2022-02-01T18:45:39.52" personId="{74D342D5-AD74-D748-AED6-4F6E96D88B21}" id="{AB852C89-8405-414F-9C2A-E115589A785F}">
    <text>PPTT possible but unlikely; shadowing from patella?</text>
  </threadedComment>
  <threadedComment ref="AP57" dT="2022-03-31T22:21:48.07" personId="{74D342D5-AD74-D748-AED6-4F6E96D88B21}" id="{7075D57A-CDA8-8143-AD9D-76AFF8C2D49B}">
    <text>Mild PPTT possible</text>
  </threadedComment>
  <threadedComment ref="AP57" dT="2022-05-14T17:21:16.99" personId="{74D342D5-AD74-D748-AED6-4F6E96D88B21}" id="{E7B6085F-FCC8-A844-B438-8EC135A7B71B}" parentId="{7075D57A-CDA8-8143-AD9D-76AFF8C2D49B}">
    <text>Mild/moderate hypoechogenic region on US</text>
  </threadedComment>
  <threadedComment ref="P58" dT="2022-03-31T21:51:38.31" personId="{74D342D5-AD74-D748-AED6-4F6E96D88B21}" id="{2671A29E-63A9-5549-9749-1207E5A03332}">
    <text>Confirmed bilateral patellar tendinitis</text>
  </threadedComment>
  <threadedComment ref="R58" dT="2021-11-08T19:15:41.56" personId="{74D342D5-AD74-D748-AED6-4F6E96D88B21}" id="{35427A90-05DC-494A-B64D-323F6621E9FA}">
    <text>Which side?</text>
  </threadedComment>
  <threadedComment ref="X58" dT="2022-05-14T17:26:02.32" personId="{74D342D5-AD74-D748-AED6-4F6E96D88B21}" id="{61FF925A-8AB2-EA44-877A-3678D0B0F3CE}">
    <text>Mild PPTT</text>
  </threadedComment>
  <threadedComment ref="Y58" dT="2022-05-14T17:26:11.07" personId="{74D342D5-AD74-D748-AED6-4F6E96D88B21}" id="{B06DA9DD-F7BD-B14D-96CC-165670B83830}">
    <text>Mild PPTT</text>
  </threadedComment>
  <threadedComment ref="AG58" dT="2022-02-01T18:54:51.08" personId="{74D342D5-AD74-D748-AED6-4F6E96D88B21}" id="{DA70B172-AD7A-0F4C-A791-46E5F24CEF35}">
    <text>PPTT likely</text>
  </threadedComment>
  <threadedComment ref="AH58" dT="2022-02-01T18:54:57.70" personId="{74D342D5-AD74-D748-AED6-4F6E96D88B21}" id="{19FD7E56-D89E-CD4F-B304-57C9191E4931}">
    <text>PPTT likely</text>
  </threadedComment>
  <threadedComment ref="AP58" dT="2022-03-31T21:54:06.59" personId="{74D342D5-AD74-D748-AED6-4F6E96D88B21}" id="{540007BF-D743-4748-AE19-99D1056A8891}">
    <text>PPTT</text>
  </threadedComment>
  <threadedComment ref="AQ58" dT="2022-03-31T21:54:14.40" personId="{74D342D5-AD74-D748-AED6-4F6E96D88B21}" id="{D45BEC74-8987-6440-8E2B-CBF6B5329641}">
    <text>PPTT</text>
  </threadedComment>
  <threadedComment ref="P59" dT="2022-03-31T21:51:38.31" personId="{74D342D5-AD74-D748-AED6-4F6E96D88B21}" id="{6D0A93ED-7737-CD43-8BAE-2D6CD8E2185D}">
    <text>Confirmed bilateral patellar tendinitis</text>
  </threadedComment>
  <threadedComment ref="R59" dT="2021-11-08T19:15:41.56" personId="{74D342D5-AD74-D748-AED6-4F6E96D88B21}" id="{8D12D8EB-595A-4B47-8EB6-AA8192FB0D50}">
    <text>Which side?</text>
  </threadedComment>
  <threadedComment ref="X59" dT="2022-05-14T17:26:16.58" personId="{74D342D5-AD74-D748-AED6-4F6E96D88B21}" id="{2134B422-28E0-BC4E-AC49-FFCE911C7A9D}">
    <text>Mild PPTT</text>
  </threadedComment>
  <threadedComment ref="Y59" dT="2022-05-14T17:26:22.58" personId="{74D342D5-AD74-D748-AED6-4F6E96D88B21}" id="{B5735C37-4D4E-E64C-8AB8-61F3A806C1A4}">
    <text>Mild PPTT</text>
  </threadedComment>
  <threadedComment ref="AG59" dT="2022-02-01T18:53:24.84" personId="{74D342D5-AD74-D748-AED6-4F6E96D88B21}" id="{CA08ED82-EE87-C845-A5D0-74F5E4AA2A79}">
    <text>PPTT likely</text>
  </threadedComment>
  <threadedComment ref="AH59" dT="2022-02-01T18:53:32.00" personId="{74D342D5-AD74-D748-AED6-4F6E96D88B21}" id="{0F4A85FB-AD48-2B4F-9DF7-D09AECFAD433}">
    <text>PPTT likely</text>
  </threadedComment>
  <threadedComment ref="AP59" dT="2022-03-31T21:50:53.57" personId="{74D342D5-AD74-D748-AED6-4F6E96D88B21}" id="{8C385329-6D51-0D4F-AA0A-3F9E7A4CB210}">
    <text>PPTT</text>
  </threadedComment>
  <threadedComment ref="AQ59" dT="2022-03-31T21:51:05.80" personId="{74D342D5-AD74-D748-AED6-4F6E96D88B21}" id="{CD636F87-E04C-564E-A16F-3E394E5DB549}">
    <text>PPTT</text>
  </threadedComment>
  <threadedComment ref="R60" dT="2022-03-31T22:15:49.97" personId="{74D342D5-AD74-D748-AED6-4F6E96D88B21}" id="{77F6B51A-96A3-B04E-AD89-991B962A2688}">
    <text>Confirmed on US</text>
  </threadedComment>
  <threadedComment ref="AG60" dT="2022-05-14T21:20:49.70" personId="{74D342D5-AD74-D748-AED6-4F6E96D88B21}" id="{53EE6DD1-F0DA-D746-A128-537B39DBB407}">
    <text>Mild HE</text>
  </threadedComment>
  <threadedComment ref="AP60" dT="2022-03-31T22:17:48.72" personId="{74D342D5-AD74-D748-AED6-4F6E96D88B21}" id="{82DA5C16-8AFB-DB4D-830A-0E424615B52D}">
    <text>Possible early stage PPTT</text>
  </threadedComment>
  <threadedComment ref="AP60" dT="2022-05-14T19:16:15.23" personId="{74D342D5-AD74-D748-AED6-4F6E96D88B21}" id="{39A98208-05CF-CA41-9050-C3F75A4CDD41}" parentId="{82DA5C16-8AFB-DB4D-830A-0E424615B52D}">
    <text>Mild hypoechogenicity</text>
  </threadedComment>
  <threadedComment ref="AQ60" dT="2022-03-31T22:18:00.62" personId="{74D342D5-AD74-D748-AED6-4F6E96D88B21}" id="{0935C8CD-DDC0-E447-AB4C-B53F869B0D40}">
    <text>Possible early stage PPTT</text>
  </threadedComment>
  <threadedComment ref="R61" dT="2022-03-31T22:15:49.97" personId="{74D342D5-AD74-D748-AED6-4F6E96D88B21}" id="{2DCFE7C6-8324-D246-9936-9F0A265B48F1}">
    <text>Confirmed on US</text>
  </threadedComment>
  <threadedComment ref="AG61" dT="2022-02-01T18:19:25.58" personId="{74D342D5-AD74-D748-AED6-4F6E96D88B21}" id="{C979D3B4-AA95-1246-AE1F-C687BED1C749}">
    <text>Possible early stage PPTT</text>
  </threadedComment>
  <threadedComment ref="AP61" dT="2022-03-31T22:13:22.18" personId="{74D342D5-AD74-D748-AED6-4F6E96D88B21}" id="{E85C8AE3-2958-EC4B-9076-9AF9D7C0C56E}">
    <text>PPTT</text>
  </threadedComment>
  <threadedComment ref="AQ61" dT="2022-03-31T22:13:28.02" personId="{74D342D5-AD74-D748-AED6-4F6E96D88B21}" id="{82E2FE8B-3F1D-BE4A-89FC-8DBF59267CE0}">
    <text>PPTT</text>
  </threadedComment>
  <threadedComment ref="Q63" dT="2021-11-29T23:04:20.29" personId="{74D342D5-AD74-D748-AED6-4F6E96D88B21}" id="{F5AE3759-ECC7-4647-876C-B9F670421DC8}">
    <text>Unknown procedure</text>
  </threadedComment>
  <threadedComment ref="Q63" dT="2022-03-31T21:17:40.91" personId="{74D342D5-AD74-D748-AED6-4F6E96D88B21}" id="{C4436ACA-D3C4-3847-879B-F7EEE8491A1D}" parentId="{F5AE3759-ECC7-4647-876C-B9F670421DC8}">
    <text>Confirmed L ankle procedure; no knee procedure</text>
  </threadedComment>
  <threadedComment ref="AH64" dT="2022-02-01T14:11:31.80" personId="{74D342D5-AD74-D748-AED6-4F6E96D88B21}" id="{CB450C16-2E8F-514E-92B8-F1D10175B52E}">
    <text>PPTT possible</text>
  </threadedComment>
  <threadedComment ref="AP64" dT="2022-03-31T22:33:35.35" personId="{74D342D5-AD74-D748-AED6-4F6E96D88B21}" id="{51ED0E60-6AE9-4A4B-AF7C-90C7B636F00D}">
    <text>PPTT likely</text>
  </threadedComment>
  <threadedComment ref="AU64" dT="2022-05-12T12:53:39.24" personId="{74D342D5-AD74-D748-AED6-4F6E96D88B21}" id="{26249008-3A5E-D344-89A2-C6C64B02ED74}">
    <text>Confirmed Popkin</text>
  </threadedComment>
  <threadedComment ref="AV64" dT="2022-05-12T12:53:39.24" personId="{74D342D5-AD74-D748-AED6-4F6E96D88B21}" id="{AD47D0FC-6743-5E41-AFA4-3ABE17E90A30}">
    <text>Confirmed Popkin</text>
  </threadedComment>
  <threadedComment ref="BG64" dT="2022-01-13T20:10:01.41" personId="{74D342D5-AD74-D748-AED6-4F6E96D88B21}" id="{9C48B0A6-3DE6-8D4D-AB50-CDA594CFBF56}">
    <text>PPTT?</text>
  </threadedComment>
  <threadedComment ref="BG64" dT="2022-05-14T21:15:12.87" personId="{74D342D5-AD74-D748-AED6-4F6E96D88B21}" id="{D1432054-CC43-5341-A46D-5B8768B9DF39}" parentId="{9C48B0A6-3DE6-8D4D-AB50-CDA594CFBF56}">
    <text>HE region</text>
  </threadedComment>
  <threadedComment ref="AL65" dT="2022-03-31T21:23:51.23" personId="{74D342D5-AD74-D748-AED6-4F6E96D88B21}" id="{F9D2CB55-A3C3-D242-A92D-9A7793FE4ED2}">
    <text>L knee meniscal surgery upcoming</text>
  </threadedComment>
  <threadedComment ref="AP65" dT="2022-03-31T22:31:47.10" personId="{74D342D5-AD74-D748-AED6-4F6E96D88B21}" id="{B51C373A-FFDE-5149-AE96-9F4F1D222A0C}">
    <text>PPTT likely</text>
  </threadedComment>
  <threadedComment ref="AU65" dT="2022-05-12T12:53:39.24" personId="{74D342D5-AD74-D748-AED6-4F6E96D88B21}" id="{03C225A2-E3FF-2E42-9AFB-59CF44E1CF48}">
    <text>Confirmed Popkin</text>
  </threadedComment>
  <threadedComment ref="AV65" dT="2022-05-12T12:53:39.24" personId="{74D342D5-AD74-D748-AED6-4F6E96D88B21}" id="{A95F7F79-5905-7F45-BCBF-B0DAA41AADAB}">
    <text>Confirmed Popkin</text>
  </threadedComment>
  <threadedComment ref="A66" dT="2022-01-31T23:38:59.19" personId="{74D342D5-AD74-D748-AED6-4F6E96D88B21}" id="{F4A9F077-E7FF-C94A-9B45-9A1F59C087CA}">
    <text>Midseason walkon</text>
  </threadedComment>
  <threadedComment ref="A67" dT="2022-01-31T23:38:59.19" personId="{74D342D5-AD74-D748-AED6-4F6E96D88B21}" id="{87B6629B-048C-A141-97B2-58623A6D4065}">
    <text>Midseason walkon</text>
  </threadedComment>
  <threadedComment ref="BF72" dT="2022-01-13T19:55:16.88" personId="{74D342D5-AD74-D748-AED6-4F6E96D88B21}" id="{D433ACE7-C3ED-514B-B508-284A39A88A00}">
    <text>PPTT likely</text>
  </threadedComment>
  <threadedComment ref="BG72" dT="2022-01-13T19:55:31.34" personId="{74D342D5-AD74-D748-AED6-4F6E96D88B21}" id="{ACACF51F-0060-B84C-AD03-2297B3E903D5}">
    <text>PPTT likely</text>
  </threadedComment>
  <threadedComment ref="BD75" dT="2022-05-14T21:23:55.21" personId="{74D342D5-AD74-D748-AED6-4F6E96D88B21}" id="{3B7F289D-5753-D241-AA73-A910C5936AC5}">
    <text>Mild focal HE region</text>
  </threadedComment>
  <threadedComment ref="BF82" dT="2022-01-13T19:59:28.49" personId="{74D342D5-AD74-D748-AED6-4F6E96D88B21}" id="{BDF3EAF0-2065-5B4A-93A9-68AF8ECABF67}">
    <text>PPTT grade 2</text>
  </threadedComment>
  <threadedComment ref="BG82" dT="2022-01-13T19:59:36.18" personId="{74D342D5-AD74-D748-AED6-4F6E96D88B21}" id="{B447D4C0-CC8D-EB42-BA71-6881591630CC}">
    <text>PPTT grade 2</text>
  </threadedComment>
  <threadedComment ref="BD84" dT="2021-11-04T12:16:31.37" personId="{74D342D5-AD74-D748-AED6-4F6E96D88B21}" id="{715714C1-1329-3B47-B02C-31F303C93170}">
    <text>PPTT?</text>
  </threadedComment>
  <threadedComment ref="BF84" dT="2022-01-21T20:14:41.96" personId="{74D342D5-AD74-D748-AED6-4F6E96D88B21}" id="{9767C95F-3FB4-9944-A097-DF8B48F289F5}">
    <text>PPTT likely</text>
  </threadedComment>
  <threadedComment ref="BG84" dT="2022-02-01T19:27:04.30" personId="{74D342D5-AD74-D748-AED6-4F6E96D88B21}" id="{4A39965E-FA36-DC4B-8189-F3876333895A}">
    <text>PPTT likely</text>
  </threadedComment>
  <threadedComment ref="BD85" dT="2021-11-04T12:14:32.39" personId="{74D342D5-AD74-D748-AED6-4F6E96D88B21}" id="{E8E3DC2B-ECD1-FD46-9E41-8944D5827DBD}">
    <text>Possible early stage PPTT</text>
  </threadedComment>
  <threadedComment ref="BF85" dT="2022-01-21T20:14:57.03" personId="{74D342D5-AD74-D748-AED6-4F6E96D88B21}" id="{1DFC3CEC-D487-1945-9AC1-C168C52564B0}">
    <text>PPTT likely</text>
  </threadedComment>
  <threadedComment ref="BG85" dT="2022-02-01T19:20:33.12" personId="{74D342D5-AD74-D748-AED6-4F6E96D88B21}" id="{9E14A4EB-8BB8-224B-B204-0E230E48103C}">
    <text>PPTT likely</text>
  </threadedComment>
  <threadedComment ref="BD88" dT="2021-11-08T19:01:33.20" personId="{74D342D5-AD74-D748-AED6-4F6E96D88B21}" id="{6E657D97-F4C3-8C40-9467-548132B87D55}">
    <text>Possible PPTT</text>
  </threadedComment>
  <threadedComment ref="BF88" dT="2022-05-14T21:22:39.56" personId="{74D342D5-AD74-D748-AED6-4F6E96D88B21}" id="{10517126-9EB9-CD45-829F-367FAF32AD5D}">
    <text>No HE noted</text>
  </threadedComment>
  <threadedComment ref="BD89" dT="2021-11-08T19:00:21.52" personId="{74D342D5-AD74-D748-AED6-4F6E96D88B21}" id="{CFD5ABB4-1720-F943-81D5-F9A21C3857BD}">
    <text>Possible PPTT</text>
  </threadedComment>
  <threadedComment ref="BF89" dT="2022-05-14T21:22:29.15" personId="{74D342D5-AD74-D748-AED6-4F6E96D88B21}" id="{E6279377-F506-7949-B76B-E0677B5AC069}">
    <text>Mild PPTT</text>
  </threadedComment>
  <threadedComment ref="BF90" dT="2022-01-12T23:57:09.28" personId="{74D342D5-AD74-D748-AED6-4F6E96D88B21}" id="{D24A4071-9F6E-4D4E-A090-6EC98CEC0EBF}">
    <text>PPTT likely</text>
  </threadedComment>
  <threadedComment ref="BG90" dT="2022-01-12T23:57:16.57" personId="{74D342D5-AD74-D748-AED6-4F6E96D88B21}" id="{5C2EEE9A-4345-CD42-8D56-A470F1F3251F}">
    <text>PPTT likely</text>
  </threadedComment>
  <threadedComment ref="BF94" dT="2022-02-01T15:19:23.63" personId="{74D342D5-AD74-D748-AED6-4F6E96D88B21}" id="{4C6AB943-1565-6E4F-A0AB-4FB1A8080A4C}">
    <text>PPTT likely</text>
  </threadedComment>
  <threadedComment ref="BG94" dT="2022-02-01T15:19:32.19" personId="{74D342D5-AD74-D748-AED6-4F6E96D88B21}" id="{B3A16DEE-B93C-A24E-B8FF-0DA536CE1210}">
    <text>PPTT likely</text>
  </threadedComment>
  <threadedComment ref="BD95" dT="2021-11-08T19:33:01.62" personId="{74D342D5-AD74-D748-AED6-4F6E96D88B21}" id="{852D42D5-C0EF-A548-AA03-ACEB2E0620C2}">
    <text>large hypoechoic region deep to tendon vs. PPTT</text>
  </threadedComment>
  <threadedComment ref="BF95" dT="2022-02-01T15:10:11.70" personId="{74D342D5-AD74-D748-AED6-4F6E96D88B21}" id="{185F54A2-77E4-584C-B0AC-849D155AD3C0}">
    <text>Anchors in place</text>
  </threadedComment>
  <threadedComment ref="BG95" dT="2022-02-01T15:17:24.39" personId="{74D342D5-AD74-D748-AED6-4F6E96D88B21}" id="{4933F587-56DF-BD47-ADA8-C0F5F051FA41}">
    <text>Anchors in place</text>
  </threadedComment>
  <threadedComment ref="BF97" dT="2022-02-01T18:33:15.33" personId="{74D342D5-AD74-D748-AED6-4F6E96D88B21}" id="{308F4C5D-BAEE-1A41-9976-85873701B19B}">
    <text>Hx of PT surgery; clear sign of enlargement from preseason</text>
  </threadedComment>
  <threadedComment ref="BF98" dT="2022-02-01T14:27:26.49" personId="{74D342D5-AD74-D748-AED6-4F6E96D88B21}" id="{8D5FE82C-72DF-3F47-9D91-6AE6AD7BEE6D}">
    <text>PPTT likely</text>
  </threadedComment>
  <threadedComment ref="BG98" dT="2022-02-01T14:27:36.06" personId="{74D342D5-AD74-D748-AED6-4F6E96D88B21}" id="{18229EB1-7420-D943-B26A-4140725312B5}">
    <text>PPTT likely</text>
  </threadedComment>
  <threadedComment ref="BF99" dT="2022-02-01T14:21:14.07" personId="{74D342D5-AD74-D748-AED6-4F6E96D88B21}" id="{DA6D469C-0397-5C40-96FC-601891031C1C}">
    <text>PPTT</text>
  </threadedComment>
  <threadedComment ref="BG99" dT="2022-02-01T14:21:20.47" personId="{74D342D5-AD74-D748-AED6-4F6E96D88B21}" id="{B64D38C2-397E-3246-B064-5711F42AC41E}">
    <text>PPTT</text>
  </threadedComment>
  <threadedComment ref="BF109" dT="2022-02-01T18:45:39.52" personId="{74D342D5-AD74-D748-AED6-4F6E96D88B21}" id="{A47BA2D9-2661-CB4B-AE8F-51AB0EABBC3A}">
    <text>PPTT possible but unlikely; shadowing from patella?</text>
  </threadedComment>
  <threadedComment ref="BD110" dT="2022-05-14T17:26:11.07" personId="{74D342D5-AD74-D748-AED6-4F6E96D88B21}" id="{11CDDBE3-A88D-C04F-8BD2-26BF3303A4A6}">
    <text>Mild PPTT</text>
  </threadedComment>
  <threadedComment ref="BF110" dT="2022-02-01T18:54:51.08" personId="{74D342D5-AD74-D748-AED6-4F6E96D88B21}" id="{7200D951-6130-224F-9A7C-1FE7AA838FBD}">
    <text>PPTT likely</text>
  </threadedComment>
  <threadedComment ref="BG110" dT="2022-02-01T18:54:57.70" personId="{74D342D5-AD74-D748-AED6-4F6E96D88B21}" id="{9DEE380B-F6A3-F94B-8EDE-808DF70F8C44}">
    <text>PPTT likely</text>
  </threadedComment>
  <threadedComment ref="BD111" dT="2022-05-14T17:26:22.58" personId="{74D342D5-AD74-D748-AED6-4F6E96D88B21}" id="{FB20094D-E439-B443-A97A-9A8DCD3E6F6F}">
    <text>Mild PPTT</text>
  </threadedComment>
  <threadedComment ref="BF111" dT="2022-02-01T18:53:24.84" personId="{74D342D5-AD74-D748-AED6-4F6E96D88B21}" id="{97C65180-A821-254D-BC65-31A167A9D199}">
    <text>PPTT likely</text>
  </threadedComment>
  <threadedComment ref="BG111" dT="2022-02-01T18:53:32.00" personId="{74D342D5-AD74-D748-AED6-4F6E96D88B21}" id="{80FA5C83-0339-1B46-9DC1-C0CF1470D781}">
    <text>PPTT likely</text>
  </threadedComment>
  <threadedComment ref="BF112" dT="2022-05-14T21:20:49.70" personId="{74D342D5-AD74-D748-AED6-4F6E96D88B21}" id="{151BDC66-5AC2-064E-85A8-572CE7E20324}">
    <text>Mild HE</text>
  </threadedComment>
  <threadedComment ref="BF113" dT="2022-02-01T18:19:25.58" personId="{74D342D5-AD74-D748-AED6-4F6E96D88B21}" id="{E400C0D5-2857-6042-BFA9-C01155AE6CBE}">
    <text>Possible early stage PPTT</text>
  </threadedComment>
  <threadedComment ref="BG116" dT="2022-02-01T14:11:31.80" personId="{74D342D5-AD74-D748-AED6-4F6E96D88B21}" id="{97C8F8F3-DD38-144A-8860-27CBC847E013}">
    <text>PPTT possible</text>
  </threadedComment>
  <threadedComment ref="BG122" dT="2022-04-06T20:38:31.15" personId="{74D342D5-AD74-D748-AED6-4F6E96D88B21}" id="{8122D09D-26FF-AC48-BF90-9DBB56095C01}">
    <text>Mild PPTT likely</text>
  </threadedComment>
  <threadedComment ref="BF123" dT="2022-04-06T20:36:33.85" personId="{74D342D5-AD74-D748-AED6-4F6E96D88B21}" id="{CC00701F-9A3D-CC4E-B795-54A97C5544F3}">
    <text>Mild PT likely</text>
  </threadedComment>
  <threadedComment ref="BG123" dT="2022-04-06T20:36:41.02" personId="{74D342D5-AD74-D748-AED6-4F6E96D88B21}" id="{DB360826-A854-8E47-9A7F-490757B71EC9}">
    <text>Mild PT likely</text>
  </threadedComment>
  <threadedComment ref="BF124" dT="2022-04-06T20:42:12.62" personId="{74D342D5-AD74-D748-AED6-4F6E96D88B21}" id="{92A9E5B4-F947-054A-AC4A-C3608250A09E}">
    <text>Moderate PPTT likely</text>
  </threadedComment>
  <threadedComment ref="BF126" dT="2022-05-11T21:01:59.12" personId="{74D342D5-AD74-D748-AED6-4F6E96D88B21}" id="{F645FDB4-AF40-1042-A3B3-50A18A928F93}">
    <text>Moderate PPTT</text>
  </threadedComment>
  <threadedComment ref="BG126" dT="2022-05-11T21:02:05.63" personId="{74D342D5-AD74-D748-AED6-4F6E96D88B21}" id="{45818007-5232-5146-9FE7-A6AFD136637F}">
    <text>Moderate PPTT</text>
  </threadedComment>
  <threadedComment ref="BF127" dT="2022-05-11T20:55:06.92" personId="{74D342D5-AD74-D748-AED6-4F6E96D88B21}" id="{83288169-D2A0-9243-8E34-2BE5C4936797}">
    <text>PPTT likely</text>
  </threadedComment>
  <threadedComment ref="BD130" dT="2022-01-13T19:55:16.88" personId="{74D342D5-AD74-D748-AED6-4F6E96D88B21}" id="{3E224682-693C-1444-A4BB-83AE39EEA8DC}">
    <text>PPTT likely</text>
  </threadedComment>
  <threadedComment ref="BF132" dT="2022-04-06T21:02:39.37" personId="{74D342D5-AD74-D748-AED6-4F6E96D88B21}" id="{6777FB91-0DEB-CB47-9F2D-E4B171F60950}">
    <text>Moderate PPTT likely</text>
  </threadedComment>
  <threadedComment ref="BG132" dT="2022-04-06T21:02:47.88" personId="{74D342D5-AD74-D748-AED6-4F6E96D88B21}" id="{DE1D2748-D8F0-8F48-849A-604755C69A2D}">
    <text>Moderate PPTT likely</text>
  </threadedComment>
  <threadedComment ref="BF135" dT="2022-04-11T13:05:51.44" personId="{74D342D5-AD74-D748-AED6-4F6E96D88B21}" id="{D56C7A88-8FF7-6746-BAC2-4E8632883C54}">
    <text>PPTT likely</text>
  </threadedComment>
  <threadedComment ref="BF136" dT="2022-04-06T20:55:27.79" personId="{74D342D5-AD74-D748-AED6-4F6E96D88B21}" id="{66A801DE-AF1A-8D43-A44D-0BD238045068}">
    <text>Mild hypoechogenic region</text>
  </threadedComment>
  <threadedComment ref="BF136" dT="2022-05-14T21:27:03.90" personId="{74D342D5-AD74-D748-AED6-4F6E96D88B21}" id="{F2222AA1-BFD2-A841-9A74-7B88C89F5484}" parentId="{66A801DE-AF1A-8D43-A44D-0BD238045068}">
    <text>Likely superficial tendon anisotropy</text>
  </threadedComment>
  <threadedComment ref="BG136" dT="2022-04-06T20:55:39.75" personId="{74D342D5-AD74-D748-AED6-4F6E96D88B21}" id="{E7E665ED-3379-844D-A968-6727F84511E6}">
    <text>Mild hypoechogenic region</text>
  </threadedComment>
  <threadedComment ref="BG136" dT="2022-05-14T21:27:15.87" personId="{74D342D5-AD74-D748-AED6-4F6E96D88B21}" id="{D42722B7-5C39-6549-81AE-B79DB11928FA}" parentId="{E7E665ED-3379-844D-A968-6727F84511E6}">
    <text>Likely superficial tendon anisotropy</text>
  </threadedComment>
  <threadedComment ref="BF139" dT="2022-04-06T21:14:18.57" personId="{74D342D5-AD74-D748-AED6-4F6E96D88B21}" id="{CD33894C-E997-E949-B0C6-B9A84F4625DA}">
    <text>Moderate PPTT likely</text>
  </threadedComment>
  <threadedComment ref="BG139" dT="2022-04-06T21:14:27.28" personId="{74D342D5-AD74-D748-AED6-4F6E96D88B21}" id="{CB6220E2-3644-E446-9CB1-D383AB45824B}">
    <text>Moderate PPTT likely</text>
  </threadedComment>
  <threadedComment ref="BD140" dT="2022-01-13T19:59:28.49" personId="{74D342D5-AD74-D748-AED6-4F6E96D88B21}" id="{6DA86403-CCB5-B743-BAFD-D897B125BE30}">
    <text>PPTT grade 2</text>
  </threadedComment>
  <threadedComment ref="BD142" dT="2022-01-21T20:14:41.96" personId="{74D342D5-AD74-D748-AED6-4F6E96D88B21}" id="{54A70C74-5A05-D44B-AF6E-DBBE9580BBC0}">
    <text>PPTT likely</text>
  </threadedComment>
  <threadedComment ref="BF142" dT="2022-05-11T21:06:02.44" personId="{74D342D5-AD74-D748-AED6-4F6E96D88B21}" id="{FAFDB781-F009-9049-8E02-BBB3C3FC7FE9}">
    <text>Mild PPTT</text>
  </threadedComment>
  <threadedComment ref="BG142" dT="2022-05-11T21:06:11.99" personId="{74D342D5-AD74-D748-AED6-4F6E96D88B21}" id="{870D68CC-AAC5-3547-BA9F-38EC2BF38CE4}">
    <text>Mild PPTT</text>
  </threadedComment>
  <threadedComment ref="BD143" dT="2022-01-21T20:14:57.03" personId="{74D342D5-AD74-D748-AED6-4F6E96D88B21}" id="{25817E23-57A1-C747-8C16-853CBDD58B2B}">
    <text>PPTT likely</text>
  </threadedComment>
  <threadedComment ref="BF143" dT="2022-05-11T21:04:07.55" personId="{74D342D5-AD74-D748-AED6-4F6E96D88B21}" id="{121792C3-5778-DD4C-998D-57F58622D822}">
    <text>PPTT likeley</text>
  </threadedComment>
  <threadedComment ref="BG143" dT="2022-05-11T21:04:22.08" personId="{74D342D5-AD74-D748-AED6-4F6E96D88B21}" id="{3F62AC49-A180-E44B-B9F7-1D3C8B081E19}">
    <text xml:space="preserve">PPTT most likely </text>
  </threadedComment>
  <threadedComment ref="BF144" dT="2022-04-11T13:21:54.15" personId="{74D342D5-AD74-D748-AED6-4F6E96D88B21}" id="{FA478198-B66C-6442-B047-73B7C592C4E2}">
    <text>PPTT</text>
  </threadedComment>
  <threadedComment ref="BF145" dT="2022-04-11T13:20:09.36" personId="{74D342D5-AD74-D748-AED6-4F6E96D88B21}" id="{A008A0B2-13F0-7E46-B6EF-FE70BDB13CE0}">
    <text>PPTT</text>
  </threadedComment>
  <threadedComment ref="BG145" dT="2022-04-11T13:20:14.50" personId="{74D342D5-AD74-D748-AED6-4F6E96D88B21}" id="{9BA663F0-6C14-574B-B720-CB0904D11A73}">
    <text>PPTT</text>
  </threadedComment>
  <threadedComment ref="BD146" dT="2022-05-14T21:22:39.56" personId="{74D342D5-AD74-D748-AED6-4F6E96D88B21}" id="{83AF18D9-F594-BC41-884A-9F682C030049}">
    <text>No HE noted</text>
  </threadedComment>
  <threadedComment ref="BD147" dT="2022-05-14T21:22:29.15" personId="{74D342D5-AD74-D748-AED6-4F6E96D88B21}" id="{4358D6B7-8D3E-9C42-987B-50675E97A443}">
    <text>Mild PPTT</text>
  </threadedComment>
  <threadedComment ref="BF147" dT="2022-04-06T20:44:51.81" personId="{74D342D5-AD74-D748-AED6-4F6E96D88B21}" id="{E0ACF1C0-1223-6943-85EF-A4ABE6D69472}">
    <text>PPTT likely</text>
  </threadedComment>
  <threadedComment ref="BD148" dT="2022-01-12T23:57:09.28" personId="{74D342D5-AD74-D748-AED6-4F6E96D88B21}" id="{636DE84E-46B4-ED4A-81C8-F535069CD0B5}">
    <text>PPTT likely</text>
  </threadedComment>
  <threadedComment ref="BF148" dT="2022-05-12T17:05:19.01" personId="{74D342D5-AD74-D748-AED6-4F6E96D88B21}" id="{A52262C3-7902-814F-B050-A6171E1171D9}">
    <text>Mild PPTT likely</text>
  </threadedComment>
  <threadedComment ref="BG148" dT="2022-05-12T17:05:28.31" personId="{74D342D5-AD74-D748-AED6-4F6E96D88B21}" id="{6AE69382-8233-6446-AEE4-6823FF4B18E5}">
    <text>Mild PPTT likely</text>
  </threadedComment>
  <threadedComment ref="BF149" dT="2022-05-12T17:03:36.19" personId="{74D342D5-AD74-D748-AED6-4F6E96D88B21}" id="{E6BB3715-C578-964F-A047-00398B2B9114}">
    <text>Hypoechoic region; PPTT likely</text>
  </threadedComment>
  <threadedComment ref="BG149" dT="2022-05-12T17:03:48.58" personId="{74D342D5-AD74-D748-AED6-4F6E96D88B21}" id="{2C1484D0-FACD-BB4B-A4BE-5E46E1D9946F}">
    <text>Hypoechoic region; PPTT likely</text>
  </threadedComment>
  <threadedComment ref="BD152" dT="2022-02-01T15:19:23.63" personId="{74D342D5-AD74-D748-AED6-4F6E96D88B21}" id="{80E12E69-DEB3-BE4E-8AFA-4EF26A1F8FA2}">
    <text>PPTT likely</text>
  </threadedComment>
  <threadedComment ref="BF152" dT="2022-04-06T21:41:56.04" personId="{74D342D5-AD74-D748-AED6-4F6E96D88B21}" id="{233759B4-1D63-8D4E-9610-6EDF09620314}">
    <text>Moderate PPTT</text>
  </threadedComment>
  <threadedComment ref="BG152" dT="2022-04-06T21:42:04.14" personId="{74D342D5-AD74-D748-AED6-4F6E96D88B21}" id="{A66C0E69-0F33-1444-ABEB-984ACC8EC09F}">
    <text>Moderate PPTT</text>
  </threadedComment>
  <threadedComment ref="BD153" dT="2022-02-01T15:10:11.70" personId="{74D342D5-AD74-D748-AED6-4F6E96D88B21}" id="{A1B28D06-715F-7945-BAF2-72E966DA9C05}">
    <text>Anchors in place</text>
  </threadedComment>
  <threadedComment ref="BD155" dT="2022-02-01T18:33:15.33" personId="{74D342D5-AD74-D748-AED6-4F6E96D88B21}" id="{6129CFC9-2DC2-E34E-B404-672EEDC8B82F}">
    <text>Hx of PT surgery; clear sign of enlargement from preseason</text>
  </threadedComment>
  <threadedComment ref="BD156" dT="2022-02-01T14:27:26.49" personId="{74D342D5-AD74-D748-AED6-4F6E96D88B21}" id="{F5EC8778-33A7-6342-9D9D-7CDE39C13964}">
    <text>PPTT likely</text>
  </threadedComment>
  <threadedComment ref="BF156" dT="2022-04-06T21:36:14.22" personId="{74D342D5-AD74-D748-AED6-4F6E96D88B21}" id="{EA15B2CA-5950-594E-A601-DF8F0948BF6F}">
    <text>Moderate PPTT</text>
  </threadedComment>
  <threadedComment ref="BG156" dT="2022-04-06T21:36:21.14" personId="{74D342D5-AD74-D748-AED6-4F6E96D88B21}" id="{9FA6EA77-4FEA-B842-BDA9-E9892F5C95A4}">
    <text>Moderate PPTT</text>
  </threadedComment>
  <threadedComment ref="BD157" dT="2022-02-01T14:21:14.07" personId="{74D342D5-AD74-D748-AED6-4F6E96D88B21}" id="{40D24C0D-9419-614C-9176-A1E082E67060}">
    <text>PPTT</text>
  </threadedComment>
  <threadedComment ref="BF157" dT="2022-04-06T21:33:04.09" personId="{74D342D5-AD74-D748-AED6-4F6E96D88B21}" id="{B4CFAAA0-4E0B-0245-88FB-9AB7567021DF}">
    <text>Moderate/severe PPTT</text>
  </threadedComment>
  <threadedComment ref="BG157" dT="2022-04-06T21:33:12.51" personId="{74D342D5-AD74-D748-AED6-4F6E96D88B21}" id="{E1729946-8F9D-0441-B610-F7FFFA2DA1BA}">
    <text>Moderate/severe PPTT</text>
  </threadedComment>
  <threadedComment ref="BF159" dT="2022-03-31T22:07:55.38" personId="{74D342D5-AD74-D748-AED6-4F6E96D88B21}" id="{C55A1998-703C-3E4E-B415-BC3781083785}">
    <text>Possible small PPTT</text>
  </threadedComment>
  <threadedComment ref="BF159" dT="2022-05-14T17:14:20.17" personId="{74D342D5-AD74-D748-AED6-4F6E96D88B21}" id="{58D8BAB1-F594-7846-A94C-5200F43FE503}" parentId="{C55A1998-703C-3E4E-B415-BC3781083785}">
    <text>Unlikely; superficial tendon region anisotropy</text>
  </threadedComment>
  <threadedComment ref="BF159" dT="2022-08-24T16:46:54.37" personId="{74D342D5-AD74-D748-AED6-4F6E96D88B21}" id="{5E31AFB2-A175-224C-B340-63662E46A4BC}" parentId="{C55A1998-703C-3E4E-B415-BC3781083785}">
    <text>Small hypoechoic foci evident</text>
  </threadedComment>
  <threadedComment ref="BG159" dT="2022-03-31T22:08:03.88" personId="{74D342D5-AD74-D748-AED6-4F6E96D88B21}" id="{9AFEA527-5E8E-8B4B-8440-FE6DC7FC9AE3}">
    <text>Possible small PPTT</text>
  </threadedComment>
  <threadedComment ref="BF161" dT="2022-03-31T21:57:51.06" personId="{74D342D5-AD74-D748-AED6-4F6E96D88B21}" id="{A23F4DE2-535F-6448-A7C0-455B6433B424}">
    <text>PPTT possible (based on Ultrasound video)</text>
  </threadedComment>
  <threadedComment ref="BD167" dT="2022-02-01T18:45:39.52" personId="{74D342D5-AD74-D748-AED6-4F6E96D88B21}" id="{541584B0-CBDF-C749-8E77-5232B301DEBE}">
    <text>PPTT possible but unlikely; shadowing from patella?</text>
  </threadedComment>
  <threadedComment ref="BF167" dT="2022-03-31T22:21:48.07" personId="{74D342D5-AD74-D748-AED6-4F6E96D88B21}" id="{7655A643-76EB-3D44-A775-57BDE80C8774}">
    <text>Mild PPTT possible</text>
  </threadedComment>
  <threadedComment ref="BF167" dT="2022-05-14T17:21:16.99" personId="{74D342D5-AD74-D748-AED6-4F6E96D88B21}" id="{8F4EB23E-9326-BB4B-A17B-C74836604A3C}" parentId="{7655A643-76EB-3D44-A775-57BDE80C8774}">
    <text>Mild/moderate hypoechogenic region on US</text>
  </threadedComment>
  <threadedComment ref="BD168" dT="2022-02-01T18:54:51.08" personId="{74D342D5-AD74-D748-AED6-4F6E96D88B21}" id="{74EBDE8A-A1C8-E64C-B587-07940F633210}">
    <text>PPTT likely</text>
  </threadedComment>
  <threadedComment ref="BF168" dT="2022-03-31T21:54:06.59" personId="{74D342D5-AD74-D748-AED6-4F6E96D88B21}" id="{8DFCA404-D7B4-3A46-82B8-5F8ADEC2315F}">
    <text>PPTT</text>
  </threadedComment>
  <threadedComment ref="BG168" dT="2022-03-31T21:54:14.40" personId="{74D342D5-AD74-D748-AED6-4F6E96D88B21}" id="{7FE475CF-B8F7-1F42-A046-510EAD4D2A3D}">
    <text>PPTT</text>
  </threadedComment>
  <threadedComment ref="BD169" dT="2022-02-01T18:53:24.84" personId="{74D342D5-AD74-D748-AED6-4F6E96D88B21}" id="{5849A78D-A4E4-D145-A193-2AA330138E67}">
    <text>PPTT likely</text>
  </threadedComment>
  <threadedComment ref="BF169" dT="2022-03-31T21:50:53.57" personId="{74D342D5-AD74-D748-AED6-4F6E96D88B21}" id="{68D7A907-6F13-C84A-BFA8-AE11635FA552}">
    <text>PPTT</text>
  </threadedComment>
  <threadedComment ref="BG169" dT="2022-03-31T21:51:05.80" personId="{74D342D5-AD74-D748-AED6-4F6E96D88B21}" id="{40B820C2-2C37-D243-9698-54576FCEF60C}">
    <text>PPTT</text>
  </threadedComment>
  <threadedComment ref="BD170" dT="2022-05-14T21:20:49.70" personId="{74D342D5-AD74-D748-AED6-4F6E96D88B21}" id="{111B3D3D-CBDF-A44F-BC48-288946BBC603}">
    <text>Mild HE</text>
  </threadedComment>
  <threadedComment ref="BF170" dT="2022-03-31T22:17:48.72" personId="{74D342D5-AD74-D748-AED6-4F6E96D88B21}" id="{B77BB096-2FC6-0C41-B26C-3FB159A54654}">
    <text>Possible early stage PPTT</text>
  </threadedComment>
  <threadedComment ref="BF170" dT="2022-05-14T19:16:15.23" personId="{74D342D5-AD74-D748-AED6-4F6E96D88B21}" id="{F20B488D-B162-094C-8F6F-E2AD9555B45D}" parentId="{B77BB096-2FC6-0C41-B26C-3FB159A54654}">
    <text>Mild hypoechogenicity</text>
  </threadedComment>
  <threadedComment ref="BG170" dT="2022-03-31T22:18:00.62" personId="{74D342D5-AD74-D748-AED6-4F6E96D88B21}" id="{E087A3A7-E44D-B249-88F2-4BFDFEB05AEA}">
    <text>Possible early stage PPTT</text>
  </threadedComment>
  <threadedComment ref="BD171" dT="2022-02-01T18:19:25.58" personId="{74D342D5-AD74-D748-AED6-4F6E96D88B21}" id="{52E13696-17F5-4A4B-8949-40FCD1D81CFF}">
    <text>Possible early stage PPTT</text>
  </threadedComment>
  <threadedComment ref="BF171" dT="2022-03-31T22:13:22.18" personId="{74D342D5-AD74-D748-AED6-4F6E96D88B21}" id="{35C2F430-5247-5B42-9DD6-8EC59C74C138}">
    <text>PPTT</text>
  </threadedComment>
  <threadedComment ref="BG171" dT="2022-03-31T22:13:28.02" personId="{74D342D5-AD74-D748-AED6-4F6E96D88B21}" id="{5416C936-FED6-5547-A897-0CFA764C8B5C}">
    <text>PPTT</text>
  </threadedComment>
  <threadedComment ref="BF174" dT="2022-03-31T22:33:35.35" personId="{74D342D5-AD74-D748-AED6-4F6E96D88B21}" id="{4B6490F5-881D-914E-B678-1DE7C2A02AA0}">
    <text>PPTT likely</text>
  </threadedComment>
  <threadedComment ref="BF175" dT="2022-03-31T22:31:47.10" personId="{74D342D5-AD74-D748-AED6-4F6E96D88B21}" id="{13E4C3C4-FD09-D440-963A-13E1F78A2C39}">
    <text>PPTT likely</text>
  </threadedComment>
  <threadedComment ref="BD182" dT="2022-01-13T20:10:01.41" personId="{74D342D5-AD74-D748-AED6-4F6E96D88B21}" id="{5BFFBE60-870A-DD44-A509-F6C5D4456EFD}">
    <text>PPTT?</text>
  </threadedComment>
  <threadedComment ref="BD182" dT="2022-05-14T21:15:12.87" personId="{74D342D5-AD74-D748-AED6-4F6E96D88B21}" id="{B794BBE1-C750-6641-AF1D-ACFEB30253EE}" parentId="{5BFFBE60-870A-DD44-A509-F6C5D4456EFD}">
    <text>HE region</text>
  </threadedComment>
  <threadedComment ref="BD190" dT="2022-01-13T19:55:31.34" personId="{74D342D5-AD74-D748-AED6-4F6E96D88B21}" id="{848C81B1-E103-9747-B5C8-EF22164915CC}">
    <text>PPTT likely</text>
  </threadedComment>
  <threadedComment ref="BD200" dT="2022-01-13T19:59:36.18" personId="{74D342D5-AD74-D748-AED6-4F6E96D88B21}" id="{8ED94BE8-32CA-6A49-802D-4C5DEDCD33E5}">
    <text>PPTT grade 2</text>
  </threadedComment>
  <threadedComment ref="BD202" dT="2022-02-01T19:27:04.30" personId="{74D342D5-AD74-D748-AED6-4F6E96D88B21}" id="{C552C7A1-9F00-674F-9AAE-C53C0A55DB32}">
    <text>PPTT likely</text>
  </threadedComment>
  <threadedComment ref="BD203" dT="2022-02-01T19:20:33.12" personId="{74D342D5-AD74-D748-AED6-4F6E96D88B21}" id="{3A4D88F9-1EB3-2346-BA80-C4527C815686}">
    <text>PPTT likely</text>
  </threadedComment>
  <threadedComment ref="BD208" dT="2022-01-12T23:57:16.57" personId="{74D342D5-AD74-D748-AED6-4F6E96D88B21}" id="{93BE8BBB-111A-3644-AF68-47E342893802}">
    <text>PPTT likely</text>
  </threadedComment>
  <threadedComment ref="BD212" dT="2022-02-01T15:19:32.19" personId="{74D342D5-AD74-D748-AED6-4F6E96D88B21}" id="{373B25BD-500F-9343-9DDA-32BEF55C18DB}">
    <text>PPTT likely</text>
  </threadedComment>
  <threadedComment ref="BD213" dT="2022-02-01T15:17:24.39" personId="{74D342D5-AD74-D748-AED6-4F6E96D88B21}" id="{C89ADB07-BE4F-5B4D-850D-A44ADF6D39C6}">
    <text>Anchors in place</text>
  </threadedComment>
  <threadedComment ref="BD216" dT="2022-02-01T14:27:36.06" personId="{74D342D5-AD74-D748-AED6-4F6E96D88B21}" id="{BE8ED5D8-8CE9-9A4B-BD69-9D8B350E2C20}">
    <text>PPTT likely</text>
  </threadedComment>
  <threadedComment ref="BD217" dT="2022-02-01T14:21:20.47" personId="{74D342D5-AD74-D748-AED6-4F6E96D88B21}" id="{3F878CC9-6999-BA4E-8A11-040BFBF002FF}">
    <text>PPTT</text>
  </threadedComment>
  <threadedComment ref="BD228" dT="2022-02-01T18:54:57.70" personId="{74D342D5-AD74-D748-AED6-4F6E96D88B21}" id="{F1255BAE-720E-524D-B351-3B3496CD832F}">
    <text>PPTT likely</text>
  </threadedComment>
  <threadedComment ref="BD229" dT="2022-02-01T18:53:32.00" personId="{74D342D5-AD74-D748-AED6-4F6E96D88B21}" id="{00B9907F-9F27-D946-9C3C-10EB4C624BA8}">
    <text>PPTT likely</text>
  </threadedComment>
  <threadedComment ref="BD234" dT="2022-02-01T14:11:31.80" personId="{74D342D5-AD74-D748-AED6-4F6E96D88B21}" id="{2A4B5B09-245F-0848-83B1-8C7EB92D098B}">
    <text>PPTT possible</text>
  </threadedComment>
  <threadedComment ref="BD241" dT="2022-04-06T20:36:33.85" personId="{74D342D5-AD74-D748-AED6-4F6E96D88B21}" id="{55CE5AF4-4CDB-AA41-A572-3BDD709C1210}">
    <text>Mild PT likely</text>
  </threadedComment>
  <threadedComment ref="BD242" dT="2022-04-06T20:42:12.62" personId="{74D342D5-AD74-D748-AED6-4F6E96D88B21}" id="{2E941C77-3176-A147-90DB-DABEAA9DA5C8}">
    <text>Moderate PPTT likely</text>
  </threadedComment>
  <threadedComment ref="BD244" dT="2022-05-11T21:01:59.12" personId="{74D342D5-AD74-D748-AED6-4F6E96D88B21}" id="{3FC3544C-0358-CD4A-8631-3B64DF3FA5BB}">
    <text>Moderate PPTT</text>
  </threadedComment>
  <threadedComment ref="BD245" dT="2022-05-11T20:55:06.92" personId="{74D342D5-AD74-D748-AED6-4F6E96D88B21}" id="{6A28FDE5-F09F-BD4B-9CD4-CB99253CAA10}">
    <text>PPTT likely</text>
  </threadedComment>
  <threadedComment ref="BD250" dT="2022-04-06T21:02:39.37" personId="{74D342D5-AD74-D748-AED6-4F6E96D88B21}" id="{D20D37DC-6B8C-3A4A-81D6-DA9B6F6C59D7}">
    <text>Moderate PPTT likely</text>
  </threadedComment>
  <threadedComment ref="BD253" dT="2022-04-11T13:05:51.44" personId="{74D342D5-AD74-D748-AED6-4F6E96D88B21}" id="{B0776EA6-F8FE-E246-9237-2FE932301E1B}">
    <text>PPTT likely</text>
  </threadedComment>
  <threadedComment ref="BD254" dT="2022-04-06T20:55:27.79" personId="{74D342D5-AD74-D748-AED6-4F6E96D88B21}" id="{AF0F97E7-2643-854C-AF2D-DE1941498757}">
    <text>Mild hypoechogenic region</text>
  </threadedComment>
  <threadedComment ref="BD254" dT="2022-05-14T21:27:03.90" personId="{74D342D5-AD74-D748-AED6-4F6E96D88B21}" id="{9E32C52D-EDE1-624F-969B-591D21956DA1}" parentId="{AF0F97E7-2643-854C-AF2D-DE1941498757}">
    <text>Likely superficial tendon anisotropy</text>
  </threadedComment>
  <threadedComment ref="BD257" dT="2022-04-06T21:14:18.57" personId="{74D342D5-AD74-D748-AED6-4F6E96D88B21}" id="{B486B042-45DA-A347-A8A9-F10421C18931}">
    <text>Moderate PPTT likely</text>
  </threadedComment>
  <threadedComment ref="BD260" dT="2022-05-11T21:06:02.44" personId="{74D342D5-AD74-D748-AED6-4F6E96D88B21}" id="{F39D5245-1037-E641-8A38-EC8897030ED3}">
    <text>Mild PPTT</text>
  </threadedComment>
  <threadedComment ref="BD261" dT="2022-05-11T21:04:07.55" personId="{74D342D5-AD74-D748-AED6-4F6E96D88B21}" id="{66C6327D-7D5C-E347-A48A-F75AE3A74F10}">
    <text>PPTT likeley</text>
  </threadedComment>
  <threadedComment ref="BD262" dT="2022-04-11T13:21:54.15" personId="{74D342D5-AD74-D748-AED6-4F6E96D88B21}" id="{00AA3699-D0C1-3540-8C88-627E0CDEE786}">
    <text>PPTT</text>
  </threadedComment>
  <threadedComment ref="BD263" dT="2022-04-11T13:20:09.36" personId="{74D342D5-AD74-D748-AED6-4F6E96D88B21}" id="{21129B0C-9888-334A-A2EC-BEDAD630EC1D}">
    <text>PPTT</text>
  </threadedComment>
  <threadedComment ref="BD265" dT="2022-04-06T20:44:51.81" personId="{74D342D5-AD74-D748-AED6-4F6E96D88B21}" id="{B70A4148-A868-7C4B-873A-783E317EC593}">
    <text>PPTT likely</text>
  </threadedComment>
  <threadedComment ref="BD266" dT="2022-05-12T17:05:19.01" personId="{74D342D5-AD74-D748-AED6-4F6E96D88B21}" id="{B1EEF776-67CD-AE46-AD6C-86A5AC8613B4}">
    <text>Mild PPTT likely</text>
  </threadedComment>
  <threadedComment ref="BD267" dT="2022-05-12T17:03:36.19" personId="{74D342D5-AD74-D748-AED6-4F6E96D88B21}" id="{E6FF89EB-F0DF-EC42-8C00-21D6453D0B50}">
    <text>Hypoechoic region; PPTT likely</text>
  </threadedComment>
  <threadedComment ref="BD270" dT="2022-04-06T21:41:56.04" personId="{74D342D5-AD74-D748-AED6-4F6E96D88B21}" id="{56FA476B-9FF3-364A-A725-F715FB30C044}">
    <text>Moderate PPTT</text>
  </threadedComment>
  <threadedComment ref="BD274" dT="2022-04-06T21:36:14.22" personId="{74D342D5-AD74-D748-AED6-4F6E96D88B21}" id="{E28B170C-725D-F240-9174-9C0594A49B31}">
    <text>Moderate PPTT</text>
  </threadedComment>
  <threadedComment ref="BD275" dT="2022-04-06T21:33:04.09" personId="{74D342D5-AD74-D748-AED6-4F6E96D88B21}" id="{5A4FBE37-5C1D-2946-AACD-DC2B6EA0ADEC}">
    <text>Moderate/severe PPTT</text>
  </threadedComment>
  <threadedComment ref="BD277" dT="2022-03-31T22:07:55.38" personId="{74D342D5-AD74-D748-AED6-4F6E96D88B21}" id="{5FD15D78-0E02-E94B-A69F-767DF6484D5F}">
    <text>Possible small PPTT</text>
  </threadedComment>
  <threadedComment ref="BD277" dT="2022-05-14T17:14:20.17" personId="{74D342D5-AD74-D748-AED6-4F6E96D88B21}" id="{56C5CBCC-75F4-9648-A4E7-2484D2EBE2EF}" parentId="{5FD15D78-0E02-E94B-A69F-767DF6484D5F}">
    <text>Unlikely; superficial tendon region anisotropy</text>
  </threadedComment>
  <threadedComment ref="BD277" dT="2022-08-24T16:46:54.37" personId="{74D342D5-AD74-D748-AED6-4F6E96D88B21}" id="{548F1C13-7969-F34C-837D-27712C7CA2EB}" parentId="{5FD15D78-0E02-E94B-A69F-767DF6484D5F}">
    <text>Small hypoechoic foci evident</text>
  </threadedComment>
  <threadedComment ref="BD279" dT="2022-03-31T21:57:51.06" personId="{74D342D5-AD74-D748-AED6-4F6E96D88B21}" id="{BC78B8FE-13C5-314C-8D25-61B43A2FFC4E}">
    <text>PPTT possible (based on Ultrasound video)</text>
  </threadedComment>
  <threadedComment ref="BD285" dT="2022-03-31T22:21:48.07" personId="{74D342D5-AD74-D748-AED6-4F6E96D88B21}" id="{7F720A1C-3ADF-2740-B74F-118696D5D6A4}">
    <text>Mild PPTT possible</text>
  </threadedComment>
  <threadedComment ref="BD285" dT="2022-05-14T17:21:16.99" personId="{74D342D5-AD74-D748-AED6-4F6E96D88B21}" id="{D4433D60-37E7-5545-B87E-B609B79A7B28}" parentId="{7F720A1C-3ADF-2740-B74F-118696D5D6A4}">
    <text>Mild/moderate hypoechogenic region on US</text>
  </threadedComment>
  <threadedComment ref="BD286" dT="2022-03-31T21:54:06.59" personId="{74D342D5-AD74-D748-AED6-4F6E96D88B21}" id="{249C1E9B-F594-2144-A275-67E77F3C6797}">
    <text>PPTT</text>
  </threadedComment>
  <threadedComment ref="BD287" dT="2022-03-31T21:50:53.57" personId="{74D342D5-AD74-D748-AED6-4F6E96D88B21}" id="{A2BD2433-550A-AB47-9518-31A509E04943}">
    <text>PPTT</text>
  </threadedComment>
  <threadedComment ref="BD288" dT="2022-03-31T22:17:48.72" personId="{74D342D5-AD74-D748-AED6-4F6E96D88B21}" id="{0FF9E71B-FC0B-9145-814E-928F0723B433}">
    <text>Possible early stage PPTT</text>
  </threadedComment>
  <threadedComment ref="BD288" dT="2022-05-14T19:16:15.23" personId="{74D342D5-AD74-D748-AED6-4F6E96D88B21}" id="{E6F6A223-9B3A-424C-80DF-C4948DA872F9}" parentId="{0FF9E71B-FC0B-9145-814E-928F0723B433}">
    <text>Mild hypoechogenicity</text>
  </threadedComment>
  <threadedComment ref="BD289" dT="2022-03-31T22:13:22.18" personId="{74D342D5-AD74-D748-AED6-4F6E96D88B21}" id="{5927E883-EA2C-2446-9E43-D96398A32166}">
    <text>PPTT</text>
  </threadedComment>
  <threadedComment ref="BD292" dT="2022-03-31T22:33:35.35" personId="{74D342D5-AD74-D748-AED6-4F6E96D88B21}" id="{3FE9E3AD-AA70-D944-996A-4ACF380E56D4}">
    <text>PPTT likely</text>
  </threadedComment>
  <threadedComment ref="BD293" dT="2022-03-31T22:31:47.10" personId="{74D342D5-AD74-D748-AED6-4F6E96D88B21}" id="{BE88A7B5-8EFE-9242-AA2E-C7732B4940E9}">
    <text>PPTT likely</text>
  </threadedComment>
  <threadedComment ref="BD298" dT="2022-04-06T20:38:31.15" personId="{74D342D5-AD74-D748-AED6-4F6E96D88B21}" id="{4A507D68-CBAE-5344-903C-74A7FBADEBEB}">
    <text>Mild PPTT likely</text>
  </threadedComment>
  <threadedComment ref="BD299" dT="2022-04-06T20:36:41.02" personId="{74D342D5-AD74-D748-AED6-4F6E96D88B21}" id="{C3683EFD-1138-7A46-9539-36E620C6B0D9}">
    <text>Mild PT likely</text>
  </threadedComment>
  <threadedComment ref="BD302" dT="2022-05-11T21:02:05.63" personId="{74D342D5-AD74-D748-AED6-4F6E96D88B21}" id="{5EB3134B-E4B6-1B43-A18F-51AA1BDC3703}">
    <text>Moderate PPTT</text>
  </threadedComment>
  <threadedComment ref="BD308" dT="2022-04-06T21:02:47.88" personId="{74D342D5-AD74-D748-AED6-4F6E96D88B21}" id="{CA8DCE55-0810-7C4A-8A80-27BC593CE7B4}">
    <text>Moderate PPTT likely</text>
  </threadedComment>
  <threadedComment ref="BD312" dT="2022-04-06T20:55:39.75" personId="{74D342D5-AD74-D748-AED6-4F6E96D88B21}" id="{7251653D-FB05-9043-B529-3722EDEC7E1C}">
    <text>Mild hypoechogenic region</text>
  </threadedComment>
  <threadedComment ref="BD312" dT="2022-05-14T21:27:15.87" personId="{74D342D5-AD74-D748-AED6-4F6E96D88B21}" id="{74432F22-A633-1742-957B-A89E4D99E8EB}" parentId="{7251653D-FB05-9043-B529-3722EDEC7E1C}">
    <text>Likely superficial tendon anisotropy</text>
  </threadedComment>
  <threadedComment ref="BD315" dT="2022-04-06T21:14:27.28" personId="{74D342D5-AD74-D748-AED6-4F6E96D88B21}" id="{118B3658-88FB-F94C-AEEA-EBC38B9F5C99}">
    <text>Moderate PPTT likely</text>
  </threadedComment>
  <threadedComment ref="BD318" dT="2022-05-11T21:06:11.99" personId="{74D342D5-AD74-D748-AED6-4F6E96D88B21}" id="{8F866D4F-C75C-0041-A341-C6D08A7A13FB}">
    <text>Mild PPTT</text>
  </threadedComment>
  <threadedComment ref="BD319" dT="2022-05-11T21:04:22.08" personId="{74D342D5-AD74-D748-AED6-4F6E96D88B21}" id="{2C85BFFD-5737-7941-9CB9-A6CBD3EEFA54}">
    <text xml:space="preserve">PPTT most likely </text>
  </threadedComment>
  <threadedComment ref="BD321" dT="2022-04-11T13:20:14.50" personId="{74D342D5-AD74-D748-AED6-4F6E96D88B21}" id="{5B90E57E-8366-7846-B840-43B50C71F244}">
    <text>PPTT</text>
  </threadedComment>
  <threadedComment ref="BD324" dT="2022-05-12T17:05:28.31" personId="{74D342D5-AD74-D748-AED6-4F6E96D88B21}" id="{CF16D80C-E75E-154F-B89C-EB5E4BE88061}">
    <text>Mild PPTT likely</text>
  </threadedComment>
  <threadedComment ref="BD325" dT="2022-05-12T17:03:48.58" personId="{74D342D5-AD74-D748-AED6-4F6E96D88B21}" id="{C599398C-BC3F-594C-9E98-7C4668ED84C9}">
    <text>Hypoechoic region; PPTT likely</text>
  </threadedComment>
  <threadedComment ref="BD328" dT="2022-04-06T21:42:04.14" personId="{74D342D5-AD74-D748-AED6-4F6E96D88B21}" id="{BF0F5E02-4BEC-B64E-9955-F136CF0F0C50}">
    <text>Moderate PPTT</text>
  </threadedComment>
  <threadedComment ref="BD332" dT="2022-04-06T21:36:21.14" personId="{74D342D5-AD74-D748-AED6-4F6E96D88B21}" id="{94D03BD7-18EE-AE4F-9EBB-FB598F536F1F}">
    <text>Moderate PPTT</text>
  </threadedComment>
  <threadedComment ref="BD333" dT="2022-04-06T21:33:12.51" personId="{74D342D5-AD74-D748-AED6-4F6E96D88B21}" id="{7BF2EEFF-6A32-E74D-9A95-5CE7AB445A1D}">
    <text>Moderate/severe PPTT</text>
  </threadedComment>
  <threadedComment ref="BD335" dT="2022-03-31T22:08:03.88" personId="{74D342D5-AD74-D748-AED6-4F6E96D88B21}" id="{B10B6034-F516-6649-BB75-776819B97AE3}">
    <text>Possible small PPTT</text>
  </threadedComment>
  <threadedComment ref="BD344" dT="2022-03-31T21:54:14.40" personId="{74D342D5-AD74-D748-AED6-4F6E96D88B21}" id="{BF73B536-9074-014D-90ED-F12C5D5AFD67}">
    <text>PPTT</text>
  </threadedComment>
  <threadedComment ref="BD345" dT="2022-03-31T21:51:05.80" personId="{74D342D5-AD74-D748-AED6-4F6E96D88B21}" id="{EE278652-E756-FF43-B584-B03163111832}">
    <text>PPTT</text>
  </threadedComment>
  <threadedComment ref="BD346" dT="2022-03-31T22:18:00.62" personId="{74D342D5-AD74-D748-AED6-4F6E96D88B21}" id="{09F76964-1681-274E-B694-84210683682F}">
    <text>Possible early stage PPTT</text>
  </threadedComment>
  <threadedComment ref="BD347" dT="2022-03-31T22:13:28.02" personId="{74D342D5-AD74-D748-AED6-4F6E96D88B21}" id="{39A42127-DD76-B449-AB53-B175BD459C57}">
    <text>PPTT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5-14T16:11:28.91" personId="{74D342D5-AD74-D748-AED6-4F6E96D88B21}" id="{33287CC0-FFC9-2D4F-B763-D8C2AF3715BA}">
    <text>Full data + healthy preseason (VISA-P above 80, no PT tenderness); potential also with no JUMPHX, but part of the issue is it fluctuates</text>
  </threadedComment>
  <threadedComment ref="K1" dT="2022-04-04T19:45:24.07" personId="{74D342D5-AD74-D748-AED6-4F6E96D88B21}" id="{F2DF1F68-6DFB-0241-A21F-42CCD7634E24}">
    <text>Age at preseason</text>
  </threadedComment>
  <threadedComment ref="L1" dT="2022-05-11T19:59:14.54" personId="{74D342D5-AD74-D748-AED6-4F6E96D88B21}" id="{BC3E5D85-62D6-C24D-8E75-6AC6BB9F55E0}">
    <text>G = 1, F = 2</text>
  </threadedComment>
  <threadedComment ref="R1" dT="2022-02-01T19:25:59.76" personId="{74D342D5-AD74-D748-AED6-4F6E96D88B21}" id="{EA7FE308-9762-954C-9792-8D56B6CE4395}">
    <text>Lot of players unsure; may not be great data</text>
  </threadedComment>
  <threadedComment ref="AU1" dT="2022-05-12T23:14:49.43" personId="{74D342D5-AD74-D748-AED6-4F6E96D88B21}" id="{DD0E4D2C-2033-8644-9E50-F5F9D21D54F0}">
    <text>Trip to training room</text>
  </threadedComment>
  <threadedComment ref="AW1" dT="2022-05-12T23:15:02.89" personId="{74D342D5-AD74-D748-AED6-4F6E96D88B21}" id="{833FB22C-847F-3044-8219-13E1DDAB7CAE}">
    <text>Tendon thickness &gt;11.45mm</text>
  </threadedComment>
  <threadedComment ref="AX1" dT="2022-05-12T23:15:24.97" personId="{74D342D5-AD74-D748-AED6-4F6E96D88B21}" id="{295B06A1-88AD-EF42-948F-D9646B0E3AD6}">
    <text>VISA-P &lt;80 at either mid or post season</text>
  </threadedComment>
  <threadedComment ref="AY1" dT="2022-05-12T23:15:39.00" personId="{74D342D5-AD74-D748-AED6-4F6E96D88B21}" id="{6E873E32-F054-CA40-9A97-050E1AA64D12}">
    <text>VISA-P &lt;70 at either mid or post season</text>
  </threadedComment>
  <threadedComment ref="BC1" dT="2022-05-14T17:08:44.56" personId="{74D342D5-AD74-D748-AED6-4F6E96D88B21}" id="{DE7F87F5-BB86-2247-8800-CA65A54202F2}">
    <text>Hypoechoic region at mid or postseason US</text>
  </threadedComment>
  <threadedComment ref="S2" dT="2022-01-12T17:30:51.87" personId="{74D342D5-AD74-D748-AED6-4F6E96D88B21}" id="{51AFD971-1AB2-1F48-9C6F-8C2ADF1F7A89}">
    <text>All symptoms same from Midseason; write same info</text>
  </threadedComment>
  <threadedComment ref="AQ4" dT="2022-04-06T20:38:31.15" personId="{74D342D5-AD74-D748-AED6-4F6E96D88B21}" id="{0C8720D0-1BB3-3940-BFBD-465EFB30AEA2}">
    <text>Mild PPTT likely</text>
  </threadedComment>
  <threadedComment ref="P5" dT="2021-11-08T18:03:56.81" personId="{74D342D5-AD74-D748-AED6-4F6E96D88B21}" id="{C9C0BB1E-46D4-C24D-83B2-964C348C4E2F}">
    <text>PRP 2 months prior</text>
  </threadedComment>
  <threadedComment ref="AP5" dT="2022-04-06T20:36:33.85" personId="{74D342D5-AD74-D748-AED6-4F6E96D88B21}" id="{6984252E-BA95-6943-8641-BD15C832CB4E}">
    <text>Mild PT likely</text>
  </threadedComment>
  <threadedComment ref="AQ5" dT="2022-04-06T20:36:41.02" personId="{74D342D5-AD74-D748-AED6-4F6E96D88B21}" id="{D10C4563-9F5E-BA45-A78D-BEED974EFBC8}">
    <text>Mild PT likely</text>
  </threadedComment>
  <threadedComment ref="AH6" dT="2022-01-13T20:10:01.41" personId="{74D342D5-AD74-D748-AED6-4F6E96D88B21}" id="{4589FE65-6242-1440-8327-416AE26354BD}">
    <text>PPTT?</text>
  </threadedComment>
  <threadedComment ref="AH6" dT="2022-05-14T21:15:12.87" personId="{74D342D5-AD74-D748-AED6-4F6E96D88B21}" id="{369280ED-D2CA-A841-A6CD-9919487F3605}" parentId="{4589FE65-6242-1440-8327-416AE26354BD}">
    <text>HE region</text>
  </threadedComment>
  <threadedComment ref="AP6" dT="2022-04-06T20:42:12.62" personId="{74D342D5-AD74-D748-AED6-4F6E96D88B21}" id="{F3D42037-F1D2-8C45-A856-F2154C2B762A}">
    <text>Moderate PPTT likely</text>
  </threadedComment>
  <threadedComment ref="X7" dT="2021-11-04T12:00:37.27" personId="{74D342D5-AD74-D748-AED6-4F6E96D88B21}" id="{C9FD0144-DF83-0A44-8EE3-D2BA810E2B7E}">
    <text>PPTT?</text>
  </threadedComment>
  <threadedComment ref="BD7" dT="2021-11-04T12:00:37.27" personId="{74D342D5-AD74-D748-AED6-4F6E96D88B21}" id="{EBE4A3D9-3969-AF4B-96F4-4B6F36DB4D43}">
    <text>PPTT?</text>
  </threadedComment>
  <threadedComment ref="BF7" dT="2021-11-04T12:00:37.27" personId="{74D342D5-AD74-D748-AED6-4F6E96D88B21}" id="{30791569-6FA9-4242-AEB1-B98822186881}">
    <text>PPTT?</text>
  </threadedComment>
  <threadedComment ref="AP8" dT="2022-05-11T21:01:59.12" personId="{74D342D5-AD74-D748-AED6-4F6E96D88B21}" id="{57075C56-0765-3E45-B82E-81D83A68FA15}">
    <text>Moderate PPTT</text>
  </threadedComment>
  <threadedComment ref="AQ8" dT="2022-05-11T21:02:05.63" personId="{74D342D5-AD74-D748-AED6-4F6E96D88B21}" id="{82EC0962-DCEA-4E4F-8118-699268A0DA07}">
    <text>Moderate PPTT</text>
  </threadedComment>
  <threadedComment ref="AP9" dT="2022-05-11T20:55:06.92" personId="{74D342D5-AD74-D748-AED6-4F6E96D88B21}" id="{D650C1BB-A096-264D-9507-75893D517195}">
    <text>PPTT likely</text>
  </threadedComment>
  <threadedComment ref="P10" dT="2022-04-11T13:27:58.08" personId="{74D342D5-AD74-D748-AED6-4F6E96D88B21}" id="{AF3E033B-A6B4-9A4A-846D-56E518D75277}">
    <text>R knee jumper’s knee hx; physical therapy only; no injection/surgery</text>
  </threadedComment>
  <threadedComment ref="X13" dT="2021-11-08T18:31:54.88" personId="{74D342D5-AD74-D748-AED6-4F6E96D88B21}" id="{5AAC4A09-9CA2-E245-B6C6-D3D9E72B31A3}">
    <text>Edema posterior to tendon? vs large PPTT</text>
  </threadedComment>
  <threadedComment ref="BD13" dT="2021-11-08T18:31:54.88" personId="{74D342D5-AD74-D748-AED6-4F6E96D88B21}" id="{4C0F914F-63FB-0140-8F1D-0FB0B27E8551}">
    <text>Edema posterior to tendon? vs large PPTT</text>
  </threadedComment>
  <threadedComment ref="BF13" dT="2021-11-08T18:31:54.88" personId="{74D342D5-AD74-D748-AED6-4F6E96D88B21}" id="{ED92247C-84A4-4042-8617-08EC4F655CA5}">
    <text>Edema posterior to tendon? vs large PPTT</text>
  </threadedComment>
  <threadedComment ref="AG14" dT="2022-01-13T19:55:16.88" personId="{74D342D5-AD74-D748-AED6-4F6E96D88B21}" id="{60CDB450-C7E5-D246-81AF-D5BDCC97635A}">
    <text>PPTT likely</text>
  </threadedComment>
  <threadedComment ref="AH14" dT="2022-01-13T19:55:31.34" personId="{74D342D5-AD74-D748-AED6-4F6E96D88B21}" id="{CB601405-B684-5042-AF62-E8ADBFD15B80}">
    <text>PPTT likely</text>
  </threadedComment>
  <threadedComment ref="AP14" dT="2022-04-06T21:02:39.37" personId="{74D342D5-AD74-D748-AED6-4F6E96D88B21}" id="{AB0EDA5E-F615-6540-8E3F-B0063568BB6D}">
    <text>Moderate PPTT likely</text>
  </threadedComment>
  <threadedComment ref="AQ14" dT="2022-04-06T21:02:47.88" personId="{74D342D5-AD74-D748-AED6-4F6E96D88B21}" id="{265837DE-FC2A-1848-9F18-2447D9A4B3AE}">
    <text>Moderate PPTT likely</text>
  </threadedComment>
  <threadedComment ref="AE15" dT="2022-01-13T19:47:45.41" personId="{74D342D5-AD74-D748-AED6-4F6E96D88B21}" id="{8B76B45C-1F30-6C42-9762-3CF366F1DFE8}">
    <text>Slightly enlarged TT since preseason per player history</text>
  </threadedComment>
  <threadedComment ref="Q16" dT="2021-11-04T12:25:08.43" personId="{74D342D5-AD74-D748-AED6-4F6E96D88B21}" id="{D209EE1B-0550-164A-8079-CEAE374ABDBD}">
    <text>R knee arthroscopy for meniscus</text>
  </threadedComment>
  <threadedComment ref="X17" dT="2021-11-04T11:59:37.13" personId="{74D342D5-AD74-D748-AED6-4F6E96D88B21}" id="{80867CEA-CD1E-5E4F-9F8E-0162573ECD03}">
    <text>PPTT? Hypoechoic region within tendon</text>
  </threadedComment>
  <threadedComment ref="X17" dT="2022-05-14T21:24:11.01" personId="{74D342D5-AD74-D748-AED6-4F6E96D88B21}" id="{8E5F7747-9371-6146-9125-35DCC759B6FB}" parentId="{80867CEA-CD1E-5E4F-9F8E-0162573ECD03}">
    <text>Mild focal HE region</text>
  </threadedComment>
  <threadedComment ref="Y17" dT="2022-05-14T21:23:55.21" personId="{74D342D5-AD74-D748-AED6-4F6E96D88B21}" id="{F97DA836-9F0D-564D-88E7-4ECE0C043F2F}">
    <text>Mild focal HE region</text>
  </threadedComment>
  <threadedComment ref="AP17" dT="2022-04-11T13:05:51.44" personId="{74D342D5-AD74-D748-AED6-4F6E96D88B21}" id="{036F0DDA-D82B-C04A-8CFE-28B9D4491752}">
    <text>PPTT likely</text>
  </threadedComment>
  <threadedComment ref="BD17" dT="2021-11-04T11:59:37.13" personId="{74D342D5-AD74-D748-AED6-4F6E96D88B21}" id="{B88C4C0A-73B5-D141-ADCC-AD04E25DF993}">
    <text>PPTT? Hypoechoic region within tendon</text>
  </threadedComment>
  <threadedComment ref="BD17" dT="2022-05-14T21:24:11.01" personId="{74D342D5-AD74-D748-AED6-4F6E96D88B21}" id="{A5ECF8DF-21D5-4E4F-9C50-1487CDB7C4D0}" parentId="{B88C4C0A-73B5-D141-ADCC-AD04E25DF993}">
    <text>Mild focal HE region</text>
  </threadedComment>
  <threadedComment ref="BF17" dT="2021-11-04T11:59:37.13" personId="{74D342D5-AD74-D748-AED6-4F6E96D88B21}" id="{406A1C58-9FD0-8B49-8290-4F25E8D3BFB0}">
    <text>PPTT? Hypoechoic region within tendon</text>
  </threadedComment>
  <threadedComment ref="BF17" dT="2022-05-14T21:24:11.01" personId="{74D342D5-AD74-D748-AED6-4F6E96D88B21}" id="{F0BDD379-128A-2445-A532-1E0B084A7B02}" parentId="{406A1C58-9FD0-8B49-8290-4F25E8D3BFB0}">
    <text>Mild focal HE region</text>
  </threadedComment>
  <threadedComment ref="BG17" dT="2022-05-14T21:23:55.21" personId="{74D342D5-AD74-D748-AED6-4F6E96D88B21}" id="{360CF912-801D-FD43-B25C-1D7F5564C1C6}">
    <text>Mild focal HE region</text>
  </threadedComment>
  <threadedComment ref="AP18" dT="2022-04-06T20:55:27.79" personId="{74D342D5-AD74-D748-AED6-4F6E96D88B21}" id="{BDD1171A-BD81-A64F-BD3E-44D5B710FFEA}">
    <text>Mild hypoechogenic region</text>
  </threadedComment>
  <threadedComment ref="AP18" dT="2022-05-14T21:27:03.90" personId="{74D342D5-AD74-D748-AED6-4F6E96D88B21}" id="{CDDBA861-041B-064D-9D58-5329A3549098}" parentId="{BDD1171A-BD81-A64F-BD3E-44D5B710FFEA}">
    <text>Likely superficial tendon anisotropy</text>
  </threadedComment>
  <threadedComment ref="AQ18" dT="2022-04-06T20:55:39.75" personId="{74D342D5-AD74-D748-AED6-4F6E96D88B21}" id="{492507F7-AD7B-5946-B011-153581B4AAF3}">
    <text>Mild hypoechogenic region</text>
  </threadedComment>
  <threadedComment ref="AQ18" dT="2022-05-14T21:27:15.87" personId="{74D342D5-AD74-D748-AED6-4F6E96D88B21}" id="{5F7406F1-BB25-F44F-9ACF-6D3E853728E7}" parentId="{492507F7-AD7B-5946-B011-153581B4AAF3}">
    <text>Likely superficial tendon anisotropy</text>
  </threadedComment>
  <threadedComment ref="A20" dT="2021-11-08T18:52:22.72" personId="{74D342D5-AD74-D748-AED6-4F6E96D88B21}" id="{9CF1D786-ACF3-B64B-AD49-87A11E99ECB5}">
    <text>Exclude</text>
  </threadedComment>
  <threadedComment ref="Q20" dT="2021-11-08T18:49:47.61" personId="{74D342D5-AD74-D748-AED6-4F6E96D88B21}" id="{5D1CCA93-2C8C-E04C-AE6C-62E857CEEFFC}">
    <text>2x R PT debridement</text>
  </threadedComment>
  <threadedComment ref="A21" dT="2021-11-08T18:52:22.72" personId="{74D342D5-AD74-D748-AED6-4F6E96D88B21}" id="{809D4A08-4DBC-334E-8421-13F839669945}">
    <text>Exclude</text>
  </threadedComment>
  <threadedComment ref="Q21" dT="2021-11-08T18:49:47.61" personId="{74D342D5-AD74-D748-AED6-4F6E96D88B21}" id="{D9D8A596-4C02-5143-8D88-25766B67A592}">
    <text>1x L PT debridement</text>
  </threadedComment>
  <threadedComment ref="R22" dT="2021-11-04T12:32:33.08" personId="{74D342D5-AD74-D748-AED6-4F6E96D88B21}" id="{C7B8ADC8-49F9-0747-ABB6-89EB7AA927D9}">
    <text>Bilateral enlarged TT on exam</text>
  </threadedComment>
  <threadedComment ref="R23" dT="2021-11-04T12:32:33.08" personId="{74D342D5-AD74-D748-AED6-4F6E96D88B21}" id="{62E2EE7B-BCC8-2A4F-8C5B-8A2870FC532D}">
    <text>Bilateral enlarged TT on exam</text>
  </threadedComment>
  <threadedComment ref="AP23" dT="2022-04-06T21:14:18.57" personId="{74D342D5-AD74-D748-AED6-4F6E96D88B21}" id="{E96B8075-0312-5048-9915-FAF6A10C0E91}">
    <text>Moderate PPTT likely</text>
  </threadedComment>
  <threadedComment ref="AQ23" dT="2022-04-06T21:14:27.28" personId="{74D342D5-AD74-D748-AED6-4F6E96D88B21}" id="{3B29117A-89DE-BE44-AE99-385779D33F72}">
    <text>Moderate PPTT likely</text>
  </threadedComment>
  <threadedComment ref="R26" dT="2021-11-04T12:34:41.54" personId="{74D342D5-AD74-D748-AED6-4F6E96D88B21}" id="{8715E06B-1E0E-D642-A54F-86399AF255E2}">
    <text>Ultrasound confirmed bilateral</text>
  </threadedComment>
  <threadedComment ref="AG26" dT="2022-01-13T19:59:28.49" personId="{74D342D5-AD74-D748-AED6-4F6E96D88B21}" id="{B656A6BE-E949-F04A-BD31-B76AA023C700}">
    <text>PPTT grade 2</text>
  </threadedComment>
  <threadedComment ref="AH26" dT="2022-01-13T19:59:36.18" personId="{74D342D5-AD74-D748-AED6-4F6E96D88B21}" id="{984E6DA0-680B-8743-8B26-D39AE0A8D16F}">
    <text>PPTT grade 2</text>
  </threadedComment>
  <threadedComment ref="AP26" dT="2022-05-11T21:06:02.44" personId="{74D342D5-AD74-D748-AED6-4F6E96D88B21}" id="{838B7EA4-2191-C148-ABCB-825825DF9218}">
    <text>Mild PPTT</text>
  </threadedComment>
  <threadedComment ref="AQ26" dT="2022-05-11T21:06:11.99" personId="{74D342D5-AD74-D748-AED6-4F6E96D88B21}" id="{49AE0A69-79A5-6D46-82BD-79C1C963ED31}">
    <text>Mild PPTT</text>
  </threadedComment>
  <threadedComment ref="BD26" dT="2021-11-04T12:14:57.41" personId="{74D342D5-AD74-D748-AED6-4F6E96D88B21}" id="{9235F350-72E3-C24C-8E94-F9EDA8DCF909}">
    <text>PPTT?</text>
  </threadedComment>
  <threadedComment ref="BF26" dT="2021-11-04T12:14:57.41" personId="{74D342D5-AD74-D748-AED6-4F6E96D88B21}" id="{62327332-AD7F-184E-A6EB-AB8AE1BCA67B}">
    <text>PPTT?</text>
  </threadedComment>
  <threadedComment ref="BG26" dT="2021-11-04T12:16:31.37" personId="{74D342D5-AD74-D748-AED6-4F6E96D88B21}" id="{28FF42AB-4184-6449-A02C-D00B7F66C9E4}">
    <text>PPTT?</text>
  </threadedComment>
  <threadedComment ref="P27" dT="2021-11-04T12:35:08.01" personId="{74D342D5-AD74-D748-AED6-4F6E96D88B21}" id="{616306BE-9DCD-614D-8F51-B02F2C7B0D49}">
    <text>2 years ago; received 2x PRP</text>
  </threadedComment>
  <threadedComment ref="R27" dT="2021-11-04T12:34:41.54" personId="{74D342D5-AD74-D748-AED6-4F6E96D88B21}" id="{864AC60E-0AFC-E649-9908-646398ACABFF}">
    <text>Ask him “which knee” and examine</text>
  </threadedComment>
  <threadedComment ref="AP27" dT="2022-05-11T21:04:07.55" personId="{74D342D5-AD74-D748-AED6-4F6E96D88B21}" id="{53D448CA-8EB3-6E4B-9E49-1B946F46F63F}">
    <text>PPTT likeley</text>
  </threadedComment>
  <threadedComment ref="AQ27" dT="2022-05-11T21:04:22.08" personId="{74D342D5-AD74-D748-AED6-4F6E96D88B21}" id="{6B703FFA-3870-F446-B45B-F177913E1E64}">
    <text xml:space="preserve">PPTT most likely </text>
  </threadedComment>
  <threadedComment ref="BG27" dT="2021-11-04T12:14:32.39" personId="{74D342D5-AD74-D748-AED6-4F6E96D88B21}" id="{F468A76C-621E-EE43-A87D-7816085F4149}">
    <text>Possible early stage PPTT</text>
  </threadedComment>
  <threadedComment ref="P28" dT="2021-11-04T12:37:52.71" personId="{74D342D5-AD74-D748-AED6-4F6E96D88B21}" id="{4C8E98C4-DE62-C54E-B2D5-519FCBA4A950}">
    <text>R knee jumper’s knee hx s/p PRP shots; no other treatment/no hx on L</text>
  </threadedComment>
  <threadedComment ref="X28" dT="2021-11-04T12:14:57.41" personId="{74D342D5-AD74-D748-AED6-4F6E96D88B21}" id="{D429D269-DAB0-0249-9F39-141D2C88724B}">
    <text>PPTT?</text>
  </threadedComment>
  <threadedComment ref="Y28" dT="2021-11-04T12:16:31.37" personId="{74D342D5-AD74-D748-AED6-4F6E96D88B21}" id="{62AA5BCE-C175-8444-9678-605D66FD1EEB}">
    <text>PPTT?</text>
  </threadedComment>
  <threadedComment ref="AG28" dT="2022-01-21T20:14:41.96" personId="{74D342D5-AD74-D748-AED6-4F6E96D88B21}" id="{2B4D851C-067F-E347-87EE-3E60A17BCC2D}">
    <text>PPTT likely</text>
  </threadedComment>
  <threadedComment ref="AH28" dT="2022-02-01T19:27:04.30" personId="{74D342D5-AD74-D748-AED6-4F6E96D88B21}" id="{C341442A-0A09-3B45-99D2-ED99CEDDAB75}">
    <text>PPTT likely</text>
  </threadedComment>
  <threadedComment ref="AP28" dT="2022-04-11T13:21:54.15" personId="{74D342D5-AD74-D748-AED6-4F6E96D88B21}" id="{593FD04A-9E53-F64C-B2ED-75ACD684DFB7}">
    <text>PPTT</text>
  </threadedComment>
  <threadedComment ref="Y29" dT="2021-11-04T12:14:32.39" personId="{74D342D5-AD74-D748-AED6-4F6E96D88B21}" id="{E380207E-4A9A-F34B-8468-11CE30BC27FB}">
    <text>Possible early stage PPTT</text>
  </threadedComment>
  <threadedComment ref="AG29" dT="2022-01-21T20:14:57.03" personId="{74D342D5-AD74-D748-AED6-4F6E96D88B21}" id="{2980E637-1A11-9F43-9CDF-BDEA04FB5811}">
    <text>PPTT likely</text>
  </threadedComment>
  <threadedComment ref="AH29" dT="2022-02-01T19:20:33.12" personId="{74D342D5-AD74-D748-AED6-4F6E96D88B21}" id="{C69AEDE4-AC3F-964A-8B4D-02B9CE817614}">
    <text>PPTT likely</text>
  </threadedComment>
  <threadedComment ref="AP29" dT="2022-04-11T13:20:09.36" personId="{74D342D5-AD74-D748-AED6-4F6E96D88B21}" id="{B7F2EE11-7D51-AB4F-9E1C-B240CBBA09B3}">
    <text>PPTT</text>
  </threadedComment>
  <threadedComment ref="AQ29" dT="2022-04-11T13:20:14.50" personId="{74D342D5-AD74-D748-AED6-4F6E96D88B21}" id="{036E60B2-777C-FB42-BF86-162A489F6DBE}">
    <text>PPTT</text>
  </threadedComment>
  <threadedComment ref="BD30" dT="2021-11-08T19:01:25.53" personId="{74D342D5-AD74-D748-AED6-4F6E96D88B21}" id="{9D9189AB-FE47-B846-8B76-FB8D782DC8B9}">
    <text>Possible PPTT</text>
  </threadedComment>
  <threadedComment ref="BF30" dT="2021-11-08T19:01:25.53" personId="{74D342D5-AD74-D748-AED6-4F6E96D88B21}" id="{E4CE67F1-2B08-804D-BA0B-9053E559AEC7}">
    <text>Possible PPTT</text>
  </threadedComment>
  <threadedComment ref="BG30" dT="2021-11-08T19:01:33.20" personId="{74D342D5-AD74-D748-AED6-4F6E96D88B21}" id="{6CCB8068-74E5-6145-8040-D01AF9F7764B}">
    <text>Possible PPTT</text>
  </threadedComment>
  <threadedComment ref="BD31" dT="2021-11-08T19:00:14.81" personId="{74D342D5-AD74-D748-AED6-4F6E96D88B21}" id="{95BDA3C3-0560-B84A-85DE-2D27E3073C44}">
    <text>Possible PPTT</text>
  </threadedComment>
  <threadedComment ref="BF31" dT="2021-11-08T19:00:14.81" personId="{74D342D5-AD74-D748-AED6-4F6E96D88B21}" id="{9E2565FC-B7D9-1141-801F-DE65B45C4CC1}">
    <text>Possible PPTT</text>
  </threadedComment>
  <threadedComment ref="BG31" dT="2021-11-08T19:00:21.52" personId="{74D342D5-AD74-D748-AED6-4F6E96D88B21}" id="{765E8F9C-526D-5C43-83A4-B50A2AFE7FD1}">
    <text>Possible PPTT</text>
  </threadedComment>
  <threadedComment ref="R32" dT="2021-11-08T19:02:20.38" personId="{74D342D5-AD74-D748-AED6-4F6E96D88B21}" id="{56818E6D-2D38-314A-ACD4-7B202FF9D3F6}">
    <text>Which?</text>
  </threadedComment>
  <threadedComment ref="X32" dT="2021-11-08T19:01:25.53" personId="{74D342D5-AD74-D748-AED6-4F6E96D88B21}" id="{0512382F-A990-F641-AFC8-B7C99DFEDF35}">
    <text>Possible PPTT</text>
  </threadedComment>
  <threadedComment ref="Y32" dT="2021-11-08T19:01:33.20" personId="{74D342D5-AD74-D748-AED6-4F6E96D88B21}" id="{BC11490C-E98D-3A42-9B75-724C72FD54EE}">
    <text>Possible PPTT</text>
  </threadedComment>
  <threadedComment ref="AE32" dT="2022-01-12T23:23:16.63" personId="{74D342D5-AD74-D748-AED6-4F6E96D88B21}" id="{823B3450-B662-3347-BDC3-9BCE8E2357DE}">
    <text>TT more painful than PP</text>
  </threadedComment>
  <threadedComment ref="AG32" dT="2022-05-14T21:22:39.56" personId="{74D342D5-AD74-D748-AED6-4F6E96D88B21}" id="{0D1515D9-E12E-744F-A5CC-C0F31E70708A}">
    <text>No HE noted</text>
  </threadedComment>
  <threadedComment ref="AL32" dT="2022-04-06T20:21:19.66" personId="{74D342D5-AD74-D748-AED6-4F6E96D88B21}" id="{7D297D51-6164-A642-9B78-EDE6E0E4A5EE}">
    <text>Sprained ACL</text>
  </threadedComment>
  <threadedComment ref="R33" dT="2021-11-08T19:02:20.38" personId="{74D342D5-AD74-D748-AED6-4F6E96D88B21}" id="{7284381A-C789-9A42-93A4-6CA473116907}">
    <text>Which?</text>
  </threadedComment>
  <threadedComment ref="X33" dT="2021-11-08T19:00:14.81" personId="{74D342D5-AD74-D748-AED6-4F6E96D88B21}" id="{CC9BA30E-0210-E847-9CF1-EF2188148CE5}">
    <text>Possible PPTT</text>
  </threadedComment>
  <threadedComment ref="Y33" dT="2021-11-08T19:00:21.52" personId="{74D342D5-AD74-D748-AED6-4F6E96D88B21}" id="{5233A717-E015-5741-ADC5-D419110A5E73}">
    <text>Possible PPTT</text>
  </threadedComment>
  <threadedComment ref="AE33" dT="2022-01-12T23:23:25.49" personId="{74D342D5-AD74-D748-AED6-4F6E96D88B21}" id="{7B9407C6-11F6-A14F-A178-FB15220695AD}">
    <text>TT more painful than PP</text>
  </threadedComment>
  <threadedComment ref="AG33" dT="2022-05-14T21:22:29.15" personId="{74D342D5-AD74-D748-AED6-4F6E96D88B21}" id="{EF4771D5-AF34-B440-AC64-5A7CCC0F0B73}">
    <text>Mild PPTT</text>
  </threadedComment>
  <threadedComment ref="AP33" dT="2022-04-06T20:44:51.81" personId="{74D342D5-AD74-D748-AED6-4F6E96D88B21}" id="{AB0C0F7D-C9DD-7146-AC23-924A7915399A}">
    <text>PPTT likely</text>
  </threadedComment>
  <threadedComment ref="R34" dT="2021-11-04T12:51:55.29" personId="{74D342D5-AD74-D748-AED6-4F6E96D88B21}" id="{8AECC717-3991-F24E-AC80-93AAA5325868}">
    <text>Evaluate L knee TT size next time</text>
  </threadedComment>
  <threadedComment ref="AG34" dT="2022-01-12T23:57:09.28" personId="{74D342D5-AD74-D748-AED6-4F6E96D88B21}" id="{58CB5DE5-789E-1846-90C3-FEF984B8E073}">
    <text>PPTT likely</text>
  </threadedComment>
  <threadedComment ref="AH34" dT="2022-01-12T23:57:16.57" personId="{74D342D5-AD74-D748-AED6-4F6E96D88B21}" id="{D6DCF7AE-408A-2A40-ADAD-392333A855F7}">
    <text>PPTT likely</text>
  </threadedComment>
  <threadedComment ref="AP34" dT="2022-05-12T17:05:19.01" personId="{74D342D5-AD74-D748-AED6-4F6E96D88B21}" id="{08853AB0-9160-1F4F-BA14-929005D1D887}">
    <text>Mild PPTT likely</text>
  </threadedComment>
  <threadedComment ref="AQ34" dT="2022-05-12T17:05:28.31" personId="{74D342D5-AD74-D748-AED6-4F6E96D88B21}" id="{8E6E054A-21A3-0B47-B943-36BE5AF09E90}">
    <text>Mild PPTT likely</text>
  </threadedComment>
  <threadedComment ref="R35" dT="2021-11-04T12:51:55.29" personId="{74D342D5-AD74-D748-AED6-4F6E96D88B21}" id="{B975861C-331D-FC42-95DD-D4E82A607046}">
    <text>Evaluate L knee TT size next time</text>
  </threadedComment>
  <threadedComment ref="AP35" dT="2022-05-12T17:03:36.19" personId="{74D342D5-AD74-D748-AED6-4F6E96D88B21}" id="{26EF15D1-AF26-364F-BAF7-EC962AB0D94C}">
    <text>Hypoechoic region; PPTT likely</text>
  </threadedComment>
  <threadedComment ref="AQ35" dT="2022-05-12T17:03:48.58" personId="{74D342D5-AD74-D748-AED6-4F6E96D88B21}" id="{BDBFC5A5-4DD2-534C-AA69-F5B0E4AB4037}">
    <text>Hypoechoic region; PPTT likely</text>
  </threadedComment>
  <threadedComment ref="BD36" dT="2022-05-14T19:38:16.13" personId="{74D342D5-AD74-D748-AED6-4F6E96D88B21}" id="{13231545-10DE-0E4D-B07F-2526796DBCBE}">
    <text>Mild/moderate PPTT/hypoechogenicity</text>
  </threadedComment>
  <threadedComment ref="BF36" dT="2022-05-14T19:38:16.13" personId="{74D342D5-AD74-D748-AED6-4F6E96D88B21}" id="{ECDA0FAC-1A3C-6B4A-A1E2-E2AFC0774F94}">
    <text>Mild/moderate PPTT/hypoechogenicity</text>
  </threadedComment>
  <threadedComment ref="BD37" dT="2021-11-08T19:32:51.68" personId="{74D342D5-AD74-D748-AED6-4F6E96D88B21}" id="{F4874728-AA51-D542-9A8D-10CB6DAEBFF0}">
    <text>large hypoechoic region deep to tendon vs. PPTT</text>
  </threadedComment>
  <threadedComment ref="BF37" dT="2021-11-08T19:32:51.68" personId="{74D342D5-AD74-D748-AED6-4F6E96D88B21}" id="{139F319F-94F1-7049-8986-469B1E0AAE41}">
    <text>large hypoechoic region deep to tendon vs. PPTT</text>
  </threadedComment>
  <threadedComment ref="BG37" dT="2021-11-08T19:33:01.62" personId="{74D342D5-AD74-D748-AED6-4F6E96D88B21}" id="{D64661E0-7965-1240-B8AA-91CFECD409FB}">
    <text>large hypoechoic region deep to tendon vs. PPTT</text>
  </threadedComment>
  <threadedComment ref="X38" dT="2022-05-14T19:38:16.13" personId="{74D342D5-AD74-D748-AED6-4F6E96D88B21}" id="{8B9AB2FE-B1CA-A142-AE29-7017A47C731E}">
    <text>Mild/moderate PPTT/hypoechogenicity</text>
  </threadedComment>
  <threadedComment ref="AG38" dT="2022-02-01T15:19:23.63" personId="{74D342D5-AD74-D748-AED6-4F6E96D88B21}" id="{CC1E9D55-9626-6F4E-BA07-DDDDB10B54AA}">
    <text>PPTT likely</text>
  </threadedComment>
  <threadedComment ref="AH38" dT="2022-02-01T15:19:32.19" personId="{74D342D5-AD74-D748-AED6-4F6E96D88B21}" id="{46C906F3-B57A-A64F-9B6C-D3F6271B68D0}">
    <text>PPTT likely</text>
  </threadedComment>
  <threadedComment ref="AP38" dT="2022-04-06T21:41:56.04" personId="{74D342D5-AD74-D748-AED6-4F6E96D88B21}" id="{11B7B0A2-232D-9A47-A049-F27C7F15AC37}">
    <text>Moderate PPTT</text>
  </threadedComment>
  <threadedComment ref="AQ38" dT="2022-04-06T21:42:04.14" personId="{74D342D5-AD74-D748-AED6-4F6E96D88B21}" id="{F38BCA21-40F1-D647-8228-3EAA2DAB67F6}">
    <text>Moderate PPTT</text>
  </threadedComment>
  <threadedComment ref="Q39" dT="2021-11-08T19:14:22.62" personId="{74D342D5-AD74-D748-AED6-4F6E96D88B21}" id="{4685C832-095E-0C47-A470-EC8FEB689D04}">
    <text>L knee patellar tendon surgery</text>
  </threadedComment>
  <threadedComment ref="X39" dT="2022-02-01T15:08:22.75" personId="{74D342D5-AD74-D748-AED6-4F6E96D88B21}" id="{4B3D0631-81BC-7449-A35B-823E948E449C}">
    <text>Anchors in place</text>
  </threadedComment>
  <threadedComment ref="Y39" dT="2022-02-01T15:08:29.76" personId="{74D342D5-AD74-D748-AED6-4F6E96D88B21}" id="{CFEDF2E9-412D-FD49-93FA-3CF68D442544}">
    <text>Anchors in place</text>
  </threadedComment>
  <threadedComment ref="AG39" dT="2022-02-01T15:10:11.70" personId="{74D342D5-AD74-D748-AED6-4F6E96D88B21}" id="{488C557A-FEB3-AC46-937F-18AD30845909}">
    <text>Anchors in place</text>
  </threadedComment>
  <threadedComment ref="AH39" dT="2022-02-01T15:17:24.39" personId="{74D342D5-AD74-D748-AED6-4F6E96D88B21}" id="{B4702EC8-82C0-EC40-A754-5395CD35059D}">
    <text>Anchors in place</text>
  </threadedComment>
  <threadedComment ref="X40" dT="2021-11-08T19:32:51.68" personId="{74D342D5-AD74-D748-AED6-4F6E96D88B21}" id="{5CFE7B5C-D3A2-AD46-8369-A37B6C79DEFA}">
    <text>large hypoechoic region deep to tendon vs. PPTT</text>
  </threadedComment>
  <threadedComment ref="Y40" dT="2021-11-08T19:33:01.62" personId="{74D342D5-AD74-D748-AED6-4F6E96D88B21}" id="{DAB37AA4-424D-D341-B279-08FC7A8779AF}">
    <text>large hypoechoic region deep to tendon vs. PPTT</text>
  </threadedComment>
  <threadedComment ref="Q41" dT="2021-11-08T19:33:48.93" personId="{74D342D5-AD74-D748-AED6-4F6E96D88B21}" id="{9BD19224-8D30-1A46-B69C-37F0F1B6329B}">
    <text>L knee ACL, meniscus, patellar tendon surgery</text>
  </threadedComment>
  <threadedComment ref="X41" dT="2022-02-01T18:32:56.71" personId="{74D342D5-AD74-D748-AED6-4F6E96D88B21}" id="{0B973565-AB2F-E84A-B55D-7098C6D324CD}">
    <text>Hx of PT surgery</text>
  </threadedComment>
  <threadedComment ref="AG41" dT="2022-02-01T18:33:15.33" personId="{74D342D5-AD74-D748-AED6-4F6E96D88B21}" id="{99322AC2-C39C-C147-8F76-82BEF68C375C}">
    <text>Hx of PT surgery; clear sign of enlargement from preseason</text>
  </threadedComment>
  <threadedComment ref="T42" dT="2021-11-08T19:25:09.46" personId="{74D342D5-AD74-D748-AED6-4F6E96D88B21}" id="{EEF55157-C5F1-4C4A-B6BC-86C3DFA3B576}">
    <text>mild</text>
  </threadedComment>
  <threadedComment ref="AG42" dT="2022-02-01T14:27:26.49" personId="{74D342D5-AD74-D748-AED6-4F6E96D88B21}" id="{0C758799-3E6F-D04C-9D93-C78FD3EAFD6B}">
    <text>PPTT likely</text>
  </threadedComment>
  <threadedComment ref="AH42" dT="2022-02-01T14:27:36.06" personId="{74D342D5-AD74-D748-AED6-4F6E96D88B21}" id="{C9E0AD7F-8F5E-7549-BACC-9F3A8DFB81D3}">
    <text>PPTT likely</text>
  </threadedComment>
  <threadedComment ref="AP42" dT="2022-04-06T21:36:14.22" personId="{74D342D5-AD74-D748-AED6-4F6E96D88B21}" id="{B12CF2C2-425A-5241-B0B8-B4C0C2EC34F6}">
    <text>Moderate PPTT</text>
  </threadedComment>
  <threadedComment ref="AQ42" dT="2022-04-06T21:36:21.14" personId="{74D342D5-AD74-D748-AED6-4F6E96D88B21}" id="{1916F392-AC59-3B48-ACC5-59E5B28B450C}">
    <text>Moderate PPTT</text>
  </threadedComment>
  <threadedComment ref="T43" dT="2021-11-08T19:25:14.54" personId="{74D342D5-AD74-D748-AED6-4F6E96D88B21}" id="{F57EC2AB-33A1-4A40-A411-37E97655773D}">
    <text>mild</text>
  </threadedComment>
  <threadedComment ref="AG43" dT="2022-02-01T14:21:14.07" personId="{74D342D5-AD74-D748-AED6-4F6E96D88B21}" id="{AC52A79D-7066-AF48-89E5-E110DF890BDB}">
    <text>PPTT</text>
  </threadedComment>
  <threadedComment ref="AH43" dT="2022-02-01T14:21:20.47" personId="{74D342D5-AD74-D748-AED6-4F6E96D88B21}" id="{0DFE40C7-6D7E-8343-AAA8-FD5C75A78902}">
    <text>PPTT</text>
  </threadedComment>
  <threadedComment ref="AP43" dT="2022-04-06T21:33:04.09" personId="{74D342D5-AD74-D748-AED6-4F6E96D88B21}" id="{FB050D24-8BF0-8C40-9D63-BB9EFBCE9DDE}">
    <text>Moderate/severe PPTT</text>
  </threadedComment>
  <threadedComment ref="AQ43" dT="2022-04-06T21:33:12.51" personId="{74D342D5-AD74-D748-AED6-4F6E96D88B21}" id="{11904916-61B4-7345-AFB8-0AA2AA9B8484}">
    <text>Moderate/severe PPTT</text>
  </threadedComment>
  <threadedComment ref="A44" dT="2022-01-31T23:39:14.72" personId="{74D342D5-AD74-D748-AED6-4F6E96D88B21}" id="{67865497-F996-0545-B54B-500F4D5F1837}">
    <text>Left team midseason</text>
  </threadedComment>
  <threadedComment ref="A45" dT="2022-01-31T23:39:14.72" personId="{74D342D5-AD74-D748-AED6-4F6E96D88B21}" id="{E4125F4E-FD0B-2B4F-B623-37335EC7925D}">
    <text>Left team midseason</text>
  </threadedComment>
  <threadedComment ref="A46" dT="2022-01-31T23:39:21.31" personId="{74D342D5-AD74-D748-AED6-4F6E96D88B21}" id="{435BB75A-CC92-B740-A48C-03E5EF7B90BA}">
    <text>Left team midseason</text>
  </threadedComment>
  <threadedComment ref="A47" dT="2022-01-31T23:39:21.31" personId="{74D342D5-AD74-D748-AED6-4F6E96D88B21}" id="{E5BF11CF-A7BB-3544-8B9C-C2BD39D96929}">
    <text>Left team midseason</text>
  </threadedComment>
  <threadedComment ref="AP49" dT="2022-03-31T22:07:55.38" personId="{74D342D5-AD74-D748-AED6-4F6E96D88B21}" id="{613252AE-631F-BD46-A763-E92BFD8E07AB}">
    <text>Possible small PPTT</text>
  </threadedComment>
  <threadedComment ref="AP49" dT="2022-05-14T17:14:20.17" personId="{74D342D5-AD74-D748-AED6-4F6E96D88B21}" id="{467847DC-6E93-3148-AC85-ABD9116E7305}" parentId="{613252AE-631F-BD46-A763-E92BFD8E07AB}">
    <text>Unlikely; superficial tendon region anisotropy</text>
  </threadedComment>
  <threadedComment ref="AP49" dT="2022-08-24T16:46:54.37" personId="{74D342D5-AD74-D748-AED6-4F6E96D88B21}" id="{D375B7F1-375D-5444-92DE-1A4F7FEE14DB}" parentId="{613252AE-631F-BD46-A763-E92BFD8E07AB}">
    <text>Small hypoechoic foci evident</text>
  </threadedComment>
  <threadedComment ref="AQ49" dT="2022-03-31T22:08:03.88" personId="{74D342D5-AD74-D748-AED6-4F6E96D88B21}" id="{8F037353-22DA-2F44-ABDA-6D2A7F580611}">
    <text>Possible small PPTT</text>
  </threadedComment>
  <threadedComment ref="A50" dT="2022-01-31T23:39:07.47" personId="{74D342D5-AD74-D748-AED6-4F6E96D88B21}" id="{BF44EB74-119C-914C-A84A-D0900109C3ED}">
    <text>Midseason walkon</text>
  </threadedComment>
  <threadedComment ref="A50" dT="2022-05-12T23:18:05.63" personId="{74D342D5-AD74-D748-AED6-4F6E96D88B21}" id="{A9DEF364-D1E8-F045-AF60-C355F1C5F14B}" parentId="{BF44EB74-119C-914C-A84A-D0900109C3ED}">
    <text>Most likely just will not use either midseason walkon</text>
  </threadedComment>
  <threadedComment ref="A51" dT="2022-01-31T23:39:07.47" personId="{74D342D5-AD74-D748-AED6-4F6E96D88B21}" id="{FBE0E7B1-FC9A-804E-8312-235A90CE86B4}">
    <text>Midseason walkon</text>
  </threadedComment>
  <threadedComment ref="AP51" dT="2022-03-31T21:57:51.06" personId="{74D342D5-AD74-D748-AED6-4F6E96D88B21}" id="{57B19EEC-90D7-EA48-9C65-249889C4EEA9}">
    <text>PPTT possible (based on Ultrasound video)</text>
  </threadedComment>
  <threadedComment ref="BD51" dT="2021-11-08T20:11:02.85" personId="{74D342D5-AD74-D748-AED6-4F6E96D88B21}" id="{7CDA7DE2-7E00-7A44-B201-1ED76B44B016}">
    <text>Tendon or irrelevant structure posterior?</text>
  </threadedComment>
  <threadedComment ref="BF51" dT="2021-11-08T20:11:02.85" personId="{74D342D5-AD74-D748-AED6-4F6E96D88B21}" id="{9CD67C76-2697-E741-9DAB-BC70221013EC}">
    <text>Tendon or irrelevant structure posterior?</text>
  </threadedComment>
  <threadedComment ref="BD52" dT="2022-05-14T17:26:02.32" personId="{74D342D5-AD74-D748-AED6-4F6E96D88B21}" id="{FE001245-6E5A-5A49-9092-ACF717A7E06A}">
    <text>Mild PPTT</text>
  </threadedComment>
  <threadedComment ref="BF52" dT="2022-05-14T17:26:02.32" personId="{74D342D5-AD74-D748-AED6-4F6E96D88B21}" id="{70F1F739-2152-FE43-BF42-2E3B3E2EEB8A}">
    <text>Mild PPTT</text>
  </threadedComment>
  <threadedComment ref="BG52" dT="2022-05-14T17:26:11.07" personId="{74D342D5-AD74-D748-AED6-4F6E96D88B21}" id="{0E7C818C-A490-A348-B3DC-60C5703F9A50}">
    <text>Mild PPTT</text>
  </threadedComment>
  <threadedComment ref="BD53" dT="2022-05-14T17:26:16.58" personId="{74D342D5-AD74-D748-AED6-4F6E96D88B21}" id="{454A69AA-9915-194C-8D39-1DCA17898FD7}">
    <text>Mild PPTT</text>
  </threadedComment>
  <threadedComment ref="BF53" dT="2022-05-14T17:26:16.58" personId="{74D342D5-AD74-D748-AED6-4F6E96D88B21}" id="{AE74957E-CFD4-244A-9BF5-52A177BBBF6E}">
    <text>Mild PPTT</text>
  </threadedComment>
  <threadedComment ref="BG53" dT="2022-05-14T17:26:22.58" personId="{74D342D5-AD74-D748-AED6-4F6E96D88B21}" id="{7E5523F2-9BB0-EA4A-B07F-0F79794FD065}">
    <text>Mild PPTT</text>
  </threadedComment>
  <threadedComment ref="P56" dT="2022-04-04T19:04:03.48" personId="{74D342D5-AD74-D748-AED6-4F6E96D88B21}" id="{435C4E2C-492C-6B46-8F0B-C8980FF9C180}">
    <text>Doctor’s visit both knees</text>
  </threadedComment>
  <threadedComment ref="P57" dT="2022-04-04T19:04:03.48" personId="{74D342D5-AD74-D748-AED6-4F6E96D88B21}" id="{042D4729-1A46-4743-BCBF-B6F28E96ABDF}">
    <text>Doctor’s visit both knees</text>
  </threadedComment>
  <threadedComment ref="X57" dT="2021-11-08T20:11:02.85" personId="{74D342D5-AD74-D748-AED6-4F6E96D88B21}" id="{3687D2ED-0B79-6F49-A1BF-97D798EAF30A}">
    <text>Tendon or irrelevant structure posterior?</text>
  </threadedComment>
  <threadedComment ref="AG57" dT="2022-02-01T18:45:39.52" personId="{74D342D5-AD74-D748-AED6-4F6E96D88B21}" id="{39727037-AF97-5E40-8B67-3F5783CD7995}">
    <text>PPTT possible but unlikely; shadowing from patella?</text>
  </threadedComment>
  <threadedComment ref="AP57" dT="2022-03-31T22:21:48.07" personId="{74D342D5-AD74-D748-AED6-4F6E96D88B21}" id="{32D80B4B-F860-7E48-B737-6EDC0BCF98A1}">
    <text>Mild PPTT possible</text>
  </threadedComment>
  <threadedComment ref="AP57" dT="2022-05-14T17:21:16.99" personId="{74D342D5-AD74-D748-AED6-4F6E96D88B21}" id="{98A588D4-8B96-CC45-A9BB-76EB8A19D8F3}" parentId="{32D80B4B-F860-7E48-B737-6EDC0BCF98A1}">
    <text>Mild/moderate hypoechogenic region on US</text>
  </threadedComment>
  <threadedComment ref="P58" dT="2022-03-31T21:51:38.31" personId="{74D342D5-AD74-D748-AED6-4F6E96D88B21}" id="{CEAD7E1A-8F5A-8740-A394-C5BE3063FE86}">
    <text>Confirmed bilateral patellar tendinitis</text>
  </threadedComment>
  <threadedComment ref="R58" dT="2021-11-08T19:15:41.56" personId="{74D342D5-AD74-D748-AED6-4F6E96D88B21}" id="{A564282F-2811-784F-B3A9-95E4CAE1CAFB}">
    <text>Which side?</text>
  </threadedComment>
  <threadedComment ref="X58" dT="2022-05-14T17:26:02.32" personId="{74D342D5-AD74-D748-AED6-4F6E96D88B21}" id="{4302A53C-E06F-5F40-9B62-7D068F40983B}">
    <text>Mild PPTT</text>
  </threadedComment>
  <threadedComment ref="Y58" dT="2022-05-14T17:26:11.07" personId="{74D342D5-AD74-D748-AED6-4F6E96D88B21}" id="{B24BB8CA-5936-B24F-93F7-57EB073B8599}">
    <text>Mild PPTT</text>
  </threadedComment>
  <threadedComment ref="AG58" dT="2022-02-01T18:54:51.08" personId="{74D342D5-AD74-D748-AED6-4F6E96D88B21}" id="{42398CF2-8030-0645-A179-A530DC8E568C}">
    <text>PPTT likely</text>
  </threadedComment>
  <threadedComment ref="AH58" dT="2022-02-01T18:54:57.70" personId="{74D342D5-AD74-D748-AED6-4F6E96D88B21}" id="{8FA8E6AB-CB40-9242-8604-E167D1261FC0}">
    <text>PPTT likely</text>
  </threadedComment>
  <threadedComment ref="AP58" dT="2022-03-31T21:54:06.59" personId="{74D342D5-AD74-D748-AED6-4F6E96D88B21}" id="{6DADC38E-11EC-AF4A-B280-80806FAE3072}">
    <text>PPTT</text>
  </threadedComment>
  <threadedComment ref="AQ58" dT="2022-03-31T21:54:14.40" personId="{74D342D5-AD74-D748-AED6-4F6E96D88B21}" id="{DC2E253E-2BB3-D84D-B01F-74E497BAF51F}">
    <text>PPTT</text>
  </threadedComment>
  <threadedComment ref="P59" dT="2022-03-31T21:51:38.31" personId="{74D342D5-AD74-D748-AED6-4F6E96D88B21}" id="{FB2B1FB5-70AD-BB4C-B5A4-2FA63EA8F2F5}">
    <text>Confirmed bilateral patellar tendinitis</text>
  </threadedComment>
  <threadedComment ref="R59" dT="2021-11-08T19:15:41.56" personId="{74D342D5-AD74-D748-AED6-4F6E96D88B21}" id="{F7AB7E96-7149-BB45-BFE0-2B9320D699CD}">
    <text>Which side?</text>
  </threadedComment>
  <threadedComment ref="X59" dT="2022-05-14T17:26:16.58" personId="{74D342D5-AD74-D748-AED6-4F6E96D88B21}" id="{9E2C0A02-37E7-B547-8C1A-896A6225F64E}">
    <text>Mild PPTT</text>
  </threadedComment>
  <threadedComment ref="Y59" dT="2022-05-14T17:26:22.58" personId="{74D342D5-AD74-D748-AED6-4F6E96D88B21}" id="{46E9C642-524F-E944-BE42-EAED8A085814}">
    <text>Mild PPTT</text>
  </threadedComment>
  <threadedComment ref="AG59" dT="2022-02-01T18:53:24.84" personId="{74D342D5-AD74-D748-AED6-4F6E96D88B21}" id="{59EB02C4-4A2C-A646-8ABF-1BF9D2BE0AF7}">
    <text>PPTT likely</text>
  </threadedComment>
  <threadedComment ref="AH59" dT="2022-02-01T18:53:32.00" personId="{74D342D5-AD74-D748-AED6-4F6E96D88B21}" id="{F02ECAE9-6F9C-D44D-B0E3-CC174827FC31}">
    <text>PPTT likely</text>
  </threadedComment>
  <threadedComment ref="AP59" dT="2022-03-31T21:50:53.57" personId="{74D342D5-AD74-D748-AED6-4F6E96D88B21}" id="{32863C62-231F-B64C-8CB7-006DEEEF1B3B}">
    <text>PPTT</text>
  </threadedComment>
  <threadedComment ref="AQ59" dT="2022-03-31T21:51:05.80" personId="{74D342D5-AD74-D748-AED6-4F6E96D88B21}" id="{15E5D051-9873-0640-A4A7-7D9CDFB19577}">
    <text>PPTT</text>
  </threadedComment>
  <threadedComment ref="R60" dT="2022-03-31T22:15:49.97" personId="{74D342D5-AD74-D748-AED6-4F6E96D88B21}" id="{BD4DFE10-E3A1-2C4D-AC66-EB05F64A24AA}">
    <text>Confirmed on US</text>
  </threadedComment>
  <threadedComment ref="AG60" dT="2022-05-14T21:20:49.70" personId="{74D342D5-AD74-D748-AED6-4F6E96D88B21}" id="{E9B79EED-1C2F-3047-ABBD-B10A95942A31}">
    <text>Mild HE</text>
  </threadedComment>
  <threadedComment ref="AP60" dT="2022-03-31T22:17:48.72" personId="{74D342D5-AD74-D748-AED6-4F6E96D88B21}" id="{01A7BA70-CC4F-FE46-B186-71DD7724D91B}">
    <text>Possible early stage PPTT</text>
  </threadedComment>
  <threadedComment ref="AP60" dT="2022-05-14T19:16:15.23" personId="{74D342D5-AD74-D748-AED6-4F6E96D88B21}" id="{938C704E-F37C-C749-92F1-852112150E16}" parentId="{01A7BA70-CC4F-FE46-B186-71DD7724D91B}">
    <text>Mild hypoechogenicity</text>
  </threadedComment>
  <threadedComment ref="AQ60" dT="2022-03-31T22:18:00.62" personId="{74D342D5-AD74-D748-AED6-4F6E96D88B21}" id="{085EA657-693B-134D-AA5A-F4CAB94F23D8}">
    <text>Possible early stage PPTT</text>
  </threadedComment>
  <threadedComment ref="R61" dT="2022-03-31T22:15:49.97" personId="{74D342D5-AD74-D748-AED6-4F6E96D88B21}" id="{D22D7411-F52A-C54E-92A6-464FF0573132}">
    <text>Confirmed on US</text>
  </threadedComment>
  <threadedComment ref="AG61" dT="2022-02-01T18:19:25.58" personId="{74D342D5-AD74-D748-AED6-4F6E96D88B21}" id="{CC3D62BE-5F95-D348-ABE0-659B7E0F5223}">
    <text>Possible early stage PPTT</text>
  </threadedComment>
  <threadedComment ref="AP61" dT="2022-03-31T22:13:22.18" personId="{74D342D5-AD74-D748-AED6-4F6E96D88B21}" id="{12304AB7-18C4-F340-B200-F47D8D1DC133}">
    <text>PPTT</text>
  </threadedComment>
  <threadedComment ref="AQ61" dT="2022-03-31T22:13:28.02" personId="{74D342D5-AD74-D748-AED6-4F6E96D88B21}" id="{AA88B9A6-C4BD-5144-A700-896ED3B140A1}">
    <text>PPTT</text>
  </threadedComment>
  <threadedComment ref="Q63" dT="2021-11-29T23:04:20.29" personId="{74D342D5-AD74-D748-AED6-4F6E96D88B21}" id="{74BF93DD-0DB4-A748-80F1-07C2F7F282E0}">
    <text>Unknown procedure</text>
  </threadedComment>
  <threadedComment ref="Q63" dT="2022-03-31T21:17:40.91" personId="{74D342D5-AD74-D748-AED6-4F6E96D88B21}" id="{1E324E34-F65C-B648-9438-BD7E5A9A1EF4}" parentId="{74BF93DD-0DB4-A748-80F1-07C2F7F282E0}">
    <text>Confirmed L ankle procedure; no knee procedure</text>
  </threadedComment>
  <threadedComment ref="AH64" dT="2022-02-01T14:11:31.80" personId="{74D342D5-AD74-D748-AED6-4F6E96D88B21}" id="{1C6A33D1-A56C-FE41-8889-1659F42F3F51}">
    <text>PPTT possible</text>
  </threadedComment>
  <threadedComment ref="AP64" dT="2022-03-31T22:33:35.35" personId="{74D342D5-AD74-D748-AED6-4F6E96D88B21}" id="{8433215B-7957-CB47-845D-97CB666CC299}">
    <text>PPTT likely</text>
  </threadedComment>
  <threadedComment ref="AU64" dT="2022-05-12T12:53:39.24" personId="{74D342D5-AD74-D748-AED6-4F6E96D88B21}" id="{79C4620D-ACBB-D541-969D-D68421D929B0}">
    <text>Confirmed Popkin</text>
  </threadedComment>
  <threadedComment ref="AV64" dT="2022-05-12T12:53:39.24" personId="{74D342D5-AD74-D748-AED6-4F6E96D88B21}" id="{B3FD9E9B-7C6C-614E-8A21-233EC5CA1D8E}">
    <text>Confirmed Popkin</text>
  </threadedComment>
  <threadedComment ref="BG64" dT="2022-01-13T20:10:01.41" personId="{74D342D5-AD74-D748-AED6-4F6E96D88B21}" id="{C4A96CFA-1C9C-3342-8C50-CE8FFBC7662E}">
    <text>PPTT?</text>
  </threadedComment>
  <threadedComment ref="BG64" dT="2022-05-14T21:15:12.87" personId="{74D342D5-AD74-D748-AED6-4F6E96D88B21}" id="{3FA93516-3441-724B-9A9B-A412D4AEDDDC}" parentId="{C4A96CFA-1C9C-3342-8C50-CE8FFBC7662E}">
    <text>HE region</text>
  </threadedComment>
  <threadedComment ref="AL65" dT="2022-03-31T21:23:51.23" personId="{74D342D5-AD74-D748-AED6-4F6E96D88B21}" id="{4F68F4BC-4FB3-C948-8EB9-99A8E3B86067}">
    <text>L knee meniscal surgery upcoming</text>
  </threadedComment>
  <threadedComment ref="AP65" dT="2022-03-31T22:31:47.10" personId="{74D342D5-AD74-D748-AED6-4F6E96D88B21}" id="{A39A6085-4DE6-0C44-B318-642C1DDDAE52}">
    <text>PPTT likely</text>
  </threadedComment>
  <threadedComment ref="AU65" dT="2022-05-12T12:53:39.24" personId="{74D342D5-AD74-D748-AED6-4F6E96D88B21}" id="{EAC6C8D6-3673-A84E-92FD-04E6C0C0A37D}">
    <text>Confirmed Popkin</text>
  </threadedComment>
  <threadedComment ref="AV65" dT="2022-05-12T12:53:39.24" personId="{74D342D5-AD74-D748-AED6-4F6E96D88B21}" id="{AB78A0CB-D098-9D49-BD29-45AE997C2F0B}">
    <text>Confirmed Popkin</text>
  </threadedComment>
  <threadedComment ref="A66" dT="2022-01-31T23:38:59.19" personId="{74D342D5-AD74-D748-AED6-4F6E96D88B21}" id="{08A8D1C7-D760-0C44-A8CD-3014A84C4535}">
    <text>Midseason walkon</text>
  </threadedComment>
  <threadedComment ref="A67" dT="2022-01-31T23:38:59.19" personId="{74D342D5-AD74-D748-AED6-4F6E96D88B21}" id="{924D2BBE-177B-7E49-8DEC-E4CE27520AE0}">
    <text>Midseason walkon</text>
  </threadedComment>
  <threadedComment ref="BF72" dT="2022-01-13T19:55:16.88" personId="{74D342D5-AD74-D748-AED6-4F6E96D88B21}" id="{901F5C63-4B7A-1544-BE41-C3197AA526F2}">
    <text>PPTT likely</text>
  </threadedComment>
  <threadedComment ref="BG72" dT="2022-01-13T19:55:31.34" personId="{74D342D5-AD74-D748-AED6-4F6E96D88B21}" id="{019F9ADD-9011-DB40-832C-FC899EADE09E}">
    <text>PPTT likely</text>
  </threadedComment>
  <threadedComment ref="BD75" dT="2022-05-14T21:23:55.21" personId="{74D342D5-AD74-D748-AED6-4F6E96D88B21}" id="{62A904BC-0998-E947-8D19-3DD549EE2E60}">
    <text>Mild focal HE region</text>
  </threadedComment>
  <threadedComment ref="BF82" dT="2022-01-13T19:59:28.49" personId="{74D342D5-AD74-D748-AED6-4F6E96D88B21}" id="{563ABAF1-F128-624D-BE61-9F242FA2F790}">
    <text>PPTT grade 2</text>
  </threadedComment>
  <threadedComment ref="BG82" dT="2022-01-13T19:59:36.18" personId="{74D342D5-AD74-D748-AED6-4F6E96D88B21}" id="{31B8F70D-F6A1-B74F-BDD6-E742C50A842B}">
    <text>PPTT grade 2</text>
  </threadedComment>
  <threadedComment ref="BD84" dT="2021-11-04T12:16:31.37" personId="{74D342D5-AD74-D748-AED6-4F6E96D88B21}" id="{1ABCAF6A-7B56-1F40-A2B3-13F32B07724F}">
    <text>PPTT?</text>
  </threadedComment>
  <threadedComment ref="BF84" dT="2022-01-21T20:14:41.96" personId="{74D342D5-AD74-D748-AED6-4F6E96D88B21}" id="{4522D2DF-FAF7-FD44-ACD5-FAB742C76A66}">
    <text>PPTT likely</text>
  </threadedComment>
  <threadedComment ref="BG84" dT="2022-02-01T19:27:04.30" personId="{74D342D5-AD74-D748-AED6-4F6E96D88B21}" id="{AE125BE0-66BC-5649-96E0-C81E592BD7B1}">
    <text>PPTT likely</text>
  </threadedComment>
  <threadedComment ref="BD85" dT="2021-11-04T12:14:32.39" personId="{74D342D5-AD74-D748-AED6-4F6E96D88B21}" id="{6509C3B7-6D7F-A242-A347-8F356BEA0C90}">
    <text>Possible early stage PPTT</text>
  </threadedComment>
  <threadedComment ref="BF85" dT="2022-01-21T20:14:57.03" personId="{74D342D5-AD74-D748-AED6-4F6E96D88B21}" id="{D6BD8344-2095-B845-A69D-3BEF585C7EC3}">
    <text>PPTT likely</text>
  </threadedComment>
  <threadedComment ref="BG85" dT="2022-02-01T19:20:33.12" personId="{74D342D5-AD74-D748-AED6-4F6E96D88B21}" id="{FCB55328-7E75-9B44-8E11-554B3CBE21D1}">
    <text>PPTT likely</text>
  </threadedComment>
  <threadedComment ref="BD88" dT="2021-11-08T19:01:33.20" personId="{74D342D5-AD74-D748-AED6-4F6E96D88B21}" id="{81C366ED-5144-F54E-ABE1-EED4EFEF9B35}">
    <text>Possible PPTT</text>
  </threadedComment>
  <threadedComment ref="BF88" dT="2022-05-14T21:22:39.56" personId="{74D342D5-AD74-D748-AED6-4F6E96D88B21}" id="{91E401F3-AC4F-DC48-AD13-C01F7FAC34D8}">
    <text>No HE noted</text>
  </threadedComment>
  <threadedComment ref="BD89" dT="2021-11-08T19:00:21.52" personId="{74D342D5-AD74-D748-AED6-4F6E96D88B21}" id="{6F1857FE-FEF2-DD49-8CCA-100D2BD040F6}">
    <text>Possible PPTT</text>
  </threadedComment>
  <threadedComment ref="BF89" dT="2022-05-14T21:22:29.15" personId="{74D342D5-AD74-D748-AED6-4F6E96D88B21}" id="{B8D1EBF8-0381-B646-AB73-7FEBDFA5667C}">
    <text>Mild PPTT</text>
  </threadedComment>
  <threadedComment ref="BF90" dT="2022-01-12T23:57:09.28" personId="{74D342D5-AD74-D748-AED6-4F6E96D88B21}" id="{82FB9E05-8ABB-8441-8242-3F1FF492114E}">
    <text>PPTT likely</text>
  </threadedComment>
  <threadedComment ref="BG90" dT="2022-01-12T23:57:16.57" personId="{74D342D5-AD74-D748-AED6-4F6E96D88B21}" id="{A44223ED-FB76-DA4E-BE16-7906A8677DD0}">
    <text>PPTT likely</text>
  </threadedComment>
  <threadedComment ref="BF94" dT="2022-02-01T15:19:23.63" personId="{74D342D5-AD74-D748-AED6-4F6E96D88B21}" id="{CB08A511-5530-A349-82E8-DB9218E023F0}">
    <text>PPTT likely</text>
  </threadedComment>
  <threadedComment ref="BG94" dT="2022-02-01T15:19:32.19" personId="{74D342D5-AD74-D748-AED6-4F6E96D88B21}" id="{CA8FCF36-2A54-B140-AD14-948BAF43870A}">
    <text>PPTT likely</text>
  </threadedComment>
  <threadedComment ref="BD95" dT="2021-11-08T19:33:01.62" personId="{74D342D5-AD74-D748-AED6-4F6E96D88B21}" id="{852226C3-DF77-9840-BCF7-62121A79AD1E}">
    <text>large hypoechoic region deep to tendon vs. PPTT</text>
  </threadedComment>
  <threadedComment ref="BF95" dT="2022-02-01T15:10:11.70" personId="{74D342D5-AD74-D748-AED6-4F6E96D88B21}" id="{63F52B9B-C2EB-874E-B201-BAD7F67B3F45}">
    <text>Anchors in place</text>
  </threadedComment>
  <threadedComment ref="BG95" dT="2022-02-01T15:17:24.39" personId="{74D342D5-AD74-D748-AED6-4F6E96D88B21}" id="{012F6191-CC13-EA45-BA29-ACC075C25A96}">
    <text>Anchors in place</text>
  </threadedComment>
  <threadedComment ref="BF97" dT="2022-02-01T18:33:15.33" personId="{74D342D5-AD74-D748-AED6-4F6E96D88B21}" id="{07EF6897-4FA0-CE44-9000-5D5216DDEBFC}">
    <text>Hx of PT surgery; clear sign of enlargement from preseason</text>
  </threadedComment>
  <threadedComment ref="BF98" dT="2022-02-01T14:27:26.49" personId="{74D342D5-AD74-D748-AED6-4F6E96D88B21}" id="{DADEDBC3-DC9F-7749-814D-52186FC59560}">
    <text>PPTT likely</text>
  </threadedComment>
  <threadedComment ref="BG98" dT="2022-02-01T14:27:36.06" personId="{74D342D5-AD74-D748-AED6-4F6E96D88B21}" id="{10DA8380-061B-5B4C-B458-337E8C5700E3}">
    <text>PPTT likely</text>
  </threadedComment>
  <threadedComment ref="BF99" dT="2022-02-01T14:21:14.07" personId="{74D342D5-AD74-D748-AED6-4F6E96D88B21}" id="{BEBFF5D9-EF44-CF4E-AE57-96B4A6730258}">
    <text>PPTT</text>
  </threadedComment>
  <threadedComment ref="BG99" dT="2022-02-01T14:21:20.47" personId="{74D342D5-AD74-D748-AED6-4F6E96D88B21}" id="{FEE39AC1-D0FE-374F-8CBC-D0101E1BC22D}">
    <text>PPTT</text>
  </threadedComment>
  <threadedComment ref="BF109" dT="2022-02-01T18:45:39.52" personId="{74D342D5-AD74-D748-AED6-4F6E96D88B21}" id="{79E224A4-2E8C-7645-A170-A8A99E6DCF85}">
    <text>PPTT possible but unlikely; shadowing from patella?</text>
  </threadedComment>
  <threadedComment ref="BD110" dT="2022-05-14T17:26:11.07" personId="{74D342D5-AD74-D748-AED6-4F6E96D88B21}" id="{E4CB9F54-8C1B-6E43-B0C9-7E63E9630058}">
    <text>Mild PPTT</text>
  </threadedComment>
  <threadedComment ref="BF110" dT="2022-02-01T18:54:51.08" personId="{74D342D5-AD74-D748-AED6-4F6E96D88B21}" id="{8E609065-106E-5148-8A00-989DD125E8F5}">
    <text>PPTT likely</text>
  </threadedComment>
  <threadedComment ref="BG110" dT="2022-02-01T18:54:57.70" personId="{74D342D5-AD74-D748-AED6-4F6E96D88B21}" id="{A3ED9E18-ADA9-CF45-8C3D-AA010A8250D2}">
    <text>PPTT likely</text>
  </threadedComment>
  <threadedComment ref="BD111" dT="2022-05-14T17:26:22.58" personId="{74D342D5-AD74-D748-AED6-4F6E96D88B21}" id="{7BCE77C5-2C5F-994E-8556-DED733AC5CF9}">
    <text>Mild PPTT</text>
  </threadedComment>
  <threadedComment ref="BF111" dT="2022-02-01T18:53:24.84" personId="{74D342D5-AD74-D748-AED6-4F6E96D88B21}" id="{E0DFDF51-131F-1D46-B624-3731A6D135A3}">
    <text>PPTT likely</text>
  </threadedComment>
  <threadedComment ref="BG111" dT="2022-02-01T18:53:32.00" personId="{74D342D5-AD74-D748-AED6-4F6E96D88B21}" id="{FB2E6514-A7A6-514C-BFC9-9DA561149E47}">
    <text>PPTT likely</text>
  </threadedComment>
  <threadedComment ref="BF112" dT="2022-05-14T21:20:49.70" personId="{74D342D5-AD74-D748-AED6-4F6E96D88B21}" id="{67E88DD2-0652-D646-98F1-28F99EC64DAB}">
    <text>Mild HE</text>
  </threadedComment>
  <threadedComment ref="BF113" dT="2022-02-01T18:19:25.58" personId="{74D342D5-AD74-D748-AED6-4F6E96D88B21}" id="{1BB66412-25E5-214A-BC7B-4FE130191ABC}">
    <text>Possible early stage PPTT</text>
  </threadedComment>
  <threadedComment ref="BG116" dT="2022-02-01T14:11:31.80" personId="{74D342D5-AD74-D748-AED6-4F6E96D88B21}" id="{ADF217BB-F34C-AB4A-A26D-A6A501EEBC46}">
    <text>PPTT possible</text>
  </threadedComment>
  <threadedComment ref="BG122" dT="2022-04-06T20:38:31.15" personId="{74D342D5-AD74-D748-AED6-4F6E96D88B21}" id="{F67D2A38-4ADB-384D-8B28-9A71E1E94B8A}">
    <text>Mild PPTT likely</text>
  </threadedComment>
  <threadedComment ref="BF123" dT="2022-04-06T20:36:33.85" personId="{74D342D5-AD74-D748-AED6-4F6E96D88B21}" id="{960C3429-7C25-7042-AB23-18AC283760EC}">
    <text>Mild PT likely</text>
  </threadedComment>
  <threadedComment ref="BG123" dT="2022-04-06T20:36:41.02" personId="{74D342D5-AD74-D748-AED6-4F6E96D88B21}" id="{C3E4DD95-EEF8-834C-9A83-9251B3309C6A}">
    <text>Mild PT likely</text>
  </threadedComment>
  <threadedComment ref="BF124" dT="2022-04-06T20:42:12.62" personId="{74D342D5-AD74-D748-AED6-4F6E96D88B21}" id="{621C8036-0A87-374F-A373-1EE13AB9DF2C}">
    <text>Moderate PPTT likely</text>
  </threadedComment>
  <threadedComment ref="BF126" dT="2022-05-11T21:01:59.12" personId="{74D342D5-AD74-D748-AED6-4F6E96D88B21}" id="{DDA839C0-F72E-8F49-A691-BF23B4239EB6}">
    <text>Moderate PPTT</text>
  </threadedComment>
  <threadedComment ref="BG126" dT="2022-05-11T21:02:05.63" personId="{74D342D5-AD74-D748-AED6-4F6E96D88B21}" id="{474B5E2F-787F-2A42-9319-9258327751D7}">
    <text>Moderate PPTT</text>
  </threadedComment>
  <threadedComment ref="BF127" dT="2022-05-11T20:55:06.92" personId="{74D342D5-AD74-D748-AED6-4F6E96D88B21}" id="{0C4F781A-E9FD-9A43-A5D8-640BFEDB626A}">
    <text>PPTT likely</text>
  </threadedComment>
  <threadedComment ref="BD130" dT="2022-01-13T19:55:16.88" personId="{74D342D5-AD74-D748-AED6-4F6E96D88B21}" id="{95D364CF-A7C7-7C4B-B412-BEC1BD332FB0}">
    <text>PPTT likely</text>
  </threadedComment>
  <threadedComment ref="BF132" dT="2022-04-06T21:02:39.37" personId="{74D342D5-AD74-D748-AED6-4F6E96D88B21}" id="{7514C844-5ED2-EE42-9536-6CFF21C40DD3}">
    <text>Moderate PPTT likely</text>
  </threadedComment>
  <threadedComment ref="BG132" dT="2022-04-06T21:02:47.88" personId="{74D342D5-AD74-D748-AED6-4F6E96D88B21}" id="{9238E96C-7B4B-584D-908A-10F627DC455F}">
    <text>Moderate PPTT likely</text>
  </threadedComment>
  <threadedComment ref="BF135" dT="2022-04-11T13:05:51.44" personId="{74D342D5-AD74-D748-AED6-4F6E96D88B21}" id="{630B275F-E233-CE4C-AF57-04DEBF300345}">
    <text>PPTT likely</text>
  </threadedComment>
  <threadedComment ref="BF136" dT="2022-04-06T20:55:27.79" personId="{74D342D5-AD74-D748-AED6-4F6E96D88B21}" id="{479E0AC4-ED45-B449-A994-583697327C6F}">
    <text>Mild hypoechogenic region</text>
  </threadedComment>
  <threadedComment ref="BF136" dT="2022-05-14T21:27:03.90" personId="{74D342D5-AD74-D748-AED6-4F6E96D88B21}" id="{51091BEB-266B-4D4E-8787-900CB545D7E5}" parentId="{479E0AC4-ED45-B449-A994-583697327C6F}">
    <text>Likely superficial tendon anisotropy</text>
  </threadedComment>
  <threadedComment ref="BG136" dT="2022-04-06T20:55:39.75" personId="{74D342D5-AD74-D748-AED6-4F6E96D88B21}" id="{A77F961A-D453-9C40-841A-FE11C30BE6BE}">
    <text>Mild hypoechogenic region</text>
  </threadedComment>
  <threadedComment ref="BG136" dT="2022-05-14T21:27:15.87" personId="{74D342D5-AD74-D748-AED6-4F6E96D88B21}" id="{84C891C5-50ED-0041-904C-52DBE635E32E}" parentId="{A77F961A-D453-9C40-841A-FE11C30BE6BE}">
    <text>Likely superficial tendon anisotropy</text>
  </threadedComment>
  <threadedComment ref="BF139" dT="2022-04-06T21:14:18.57" personId="{74D342D5-AD74-D748-AED6-4F6E96D88B21}" id="{8B1004AE-F177-6647-B912-A2926627955D}">
    <text>Moderate PPTT likely</text>
  </threadedComment>
  <threadedComment ref="BG139" dT="2022-04-06T21:14:27.28" personId="{74D342D5-AD74-D748-AED6-4F6E96D88B21}" id="{ECC4A536-9E8F-5A43-8439-29E1B588227C}">
    <text>Moderate PPTT likely</text>
  </threadedComment>
  <threadedComment ref="BD140" dT="2022-01-13T19:59:28.49" personId="{74D342D5-AD74-D748-AED6-4F6E96D88B21}" id="{A4D173F1-B9A8-5C49-B6BA-56418F9630EF}">
    <text>PPTT grade 2</text>
  </threadedComment>
  <threadedComment ref="BD142" dT="2022-01-21T20:14:41.96" personId="{74D342D5-AD74-D748-AED6-4F6E96D88B21}" id="{4AEEF358-F08E-E54C-B00A-24F27C5E3942}">
    <text>PPTT likely</text>
  </threadedComment>
  <threadedComment ref="BF142" dT="2022-05-11T21:06:02.44" personId="{74D342D5-AD74-D748-AED6-4F6E96D88B21}" id="{07D9EE1D-F3A6-4943-9217-D1539B0AF0D5}">
    <text>Mild PPTT</text>
  </threadedComment>
  <threadedComment ref="BG142" dT="2022-05-11T21:06:11.99" personId="{74D342D5-AD74-D748-AED6-4F6E96D88B21}" id="{D83F28C6-F03E-9B41-AEDF-D9094669CE5C}">
    <text>Mild PPTT</text>
  </threadedComment>
  <threadedComment ref="BD143" dT="2022-01-21T20:14:57.03" personId="{74D342D5-AD74-D748-AED6-4F6E96D88B21}" id="{9C7E6A0D-9CAD-AF4E-9465-1272ED51C8DF}">
    <text>PPTT likely</text>
  </threadedComment>
  <threadedComment ref="BF143" dT="2022-05-11T21:04:07.55" personId="{74D342D5-AD74-D748-AED6-4F6E96D88B21}" id="{919BB0FA-9614-C246-9278-FD702A6C7923}">
    <text>PPTT likeley</text>
  </threadedComment>
  <threadedComment ref="BG143" dT="2022-05-11T21:04:22.08" personId="{74D342D5-AD74-D748-AED6-4F6E96D88B21}" id="{ECA6A48B-52CD-5945-ABA7-AC7ECDE95F63}">
    <text xml:space="preserve">PPTT most likely </text>
  </threadedComment>
  <threadedComment ref="BF144" dT="2022-04-11T13:21:54.15" personId="{74D342D5-AD74-D748-AED6-4F6E96D88B21}" id="{4D392D32-5585-2E48-856C-B6B1EE70167A}">
    <text>PPTT</text>
  </threadedComment>
  <threadedComment ref="BF145" dT="2022-04-11T13:20:09.36" personId="{74D342D5-AD74-D748-AED6-4F6E96D88B21}" id="{FDB12740-3088-1A46-8FD1-BB3838986624}">
    <text>PPTT</text>
  </threadedComment>
  <threadedComment ref="BG145" dT="2022-04-11T13:20:14.50" personId="{74D342D5-AD74-D748-AED6-4F6E96D88B21}" id="{4C72521E-0672-A247-BF0B-BF825A501E6D}">
    <text>PPTT</text>
  </threadedComment>
  <threadedComment ref="BD146" dT="2022-05-14T21:22:39.56" personId="{74D342D5-AD74-D748-AED6-4F6E96D88B21}" id="{227FF33B-A222-F34A-B5E6-875CE9B45566}">
    <text>No HE noted</text>
  </threadedComment>
  <threadedComment ref="BD147" dT="2022-05-14T21:22:29.15" personId="{74D342D5-AD74-D748-AED6-4F6E96D88B21}" id="{8910EED1-98F1-0B47-A724-0E078C142A68}">
    <text>Mild PPTT</text>
  </threadedComment>
  <threadedComment ref="BF147" dT="2022-04-06T20:44:51.81" personId="{74D342D5-AD74-D748-AED6-4F6E96D88B21}" id="{1B283A24-3EA5-9044-80AF-D1833955C6D8}">
    <text>PPTT likely</text>
  </threadedComment>
  <threadedComment ref="BD148" dT="2022-01-12T23:57:09.28" personId="{74D342D5-AD74-D748-AED6-4F6E96D88B21}" id="{7AE7C137-4CB7-B646-962E-F2F5BEC16B79}">
    <text>PPTT likely</text>
  </threadedComment>
  <threadedComment ref="BF148" dT="2022-05-12T17:05:19.01" personId="{74D342D5-AD74-D748-AED6-4F6E96D88B21}" id="{2784D00D-ADEB-E94A-9A0D-9185495C2495}">
    <text>Mild PPTT likely</text>
  </threadedComment>
  <threadedComment ref="BG148" dT="2022-05-12T17:05:28.31" personId="{74D342D5-AD74-D748-AED6-4F6E96D88B21}" id="{1229A232-6970-CC4F-B726-1B3B0C11DCC3}">
    <text>Mild PPTT likely</text>
  </threadedComment>
  <threadedComment ref="BF149" dT="2022-05-12T17:03:36.19" personId="{74D342D5-AD74-D748-AED6-4F6E96D88B21}" id="{50A08660-DE60-E04F-A378-7357D616D648}">
    <text>Hypoechoic region; PPTT likely</text>
  </threadedComment>
  <threadedComment ref="BG149" dT="2022-05-12T17:03:48.58" personId="{74D342D5-AD74-D748-AED6-4F6E96D88B21}" id="{048ED3E1-0157-0E41-871A-1FD0C480EFA8}">
    <text>Hypoechoic region; PPTT likely</text>
  </threadedComment>
  <threadedComment ref="BD152" dT="2022-02-01T15:19:23.63" personId="{74D342D5-AD74-D748-AED6-4F6E96D88B21}" id="{5CD9C919-BA5A-774D-8D26-26EF1F227965}">
    <text>PPTT likely</text>
  </threadedComment>
  <threadedComment ref="BF152" dT="2022-04-06T21:41:56.04" personId="{74D342D5-AD74-D748-AED6-4F6E96D88B21}" id="{BCDEC936-213E-B043-863B-43CCF532C459}">
    <text>Moderate PPTT</text>
  </threadedComment>
  <threadedComment ref="BG152" dT="2022-04-06T21:42:04.14" personId="{74D342D5-AD74-D748-AED6-4F6E96D88B21}" id="{8364839E-BB90-B646-9071-9F28CE4FD10E}">
    <text>Moderate PPTT</text>
  </threadedComment>
  <threadedComment ref="BD153" dT="2022-02-01T15:10:11.70" personId="{74D342D5-AD74-D748-AED6-4F6E96D88B21}" id="{AC86BAFF-4E98-D544-B314-1DDD52802B0A}">
    <text>Anchors in place</text>
  </threadedComment>
  <threadedComment ref="BD155" dT="2022-02-01T18:33:15.33" personId="{74D342D5-AD74-D748-AED6-4F6E96D88B21}" id="{8D9F0C5E-A17D-3B47-8A4B-E25F60390BBC}">
    <text>Hx of PT surgery; clear sign of enlargement from preseason</text>
  </threadedComment>
  <threadedComment ref="BD156" dT="2022-02-01T14:27:26.49" personId="{74D342D5-AD74-D748-AED6-4F6E96D88B21}" id="{EE485350-0597-8445-B312-3E897285C14E}">
    <text>PPTT likely</text>
  </threadedComment>
  <threadedComment ref="BF156" dT="2022-04-06T21:36:14.22" personId="{74D342D5-AD74-D748-AED6-4F6E96D88B21}" id="{8695024D-AD39-CB41-B642-3A08F559107A}">
    <text>Moderate PPTT</text>
  </threadedComment>
  <threadedComment ref="BG156" dT="2022-04-06T21:36:21.14" personId="{74D342D5-AD74-D748-AED6-4F6E96D88B21}" id="{E5DBCC20-222E-AB43-BE11-F6743726D699}">
    <text>Moderate PPTT</text>
  </threadedComment>
  <threadedComment ref="BD157" dT="2022-02-01T14:21:14.07" personId="{74D342D5-AD74-D748-AED6-4F6E96D88B21}" id="{0CBA257B-A9AF-0244-BCA2-9CB0334E76F2}">
    <text>PPTT</text>
  </threadedComment>
  <threadedComment ref="BF157" dT="2022-04-06T21:33:04.09" personId="{74D342D5-AD74-D748-AED6-4F6E96D88B21}" id="{16EF845D-92E4-2148-9A0C-ADD88AE65A25}">
    <text>Moderate/severe PPTT</text>
  </threadedComment>
  <threadedComment ref="BG157" dT="2022-04-06T21:33:12.51" personId="{74D342D5-AD74-D748-AED6-4F6E96D88B21}" id="{7D6925CE-A004-AF4F-A321-978B7DC95DBA}">
    <text>Moderate/severe PPTT</text>
  </threadedComment>
  <threadedComment ref="BF159" dT="2022-03-31T22:07:55.38" personId="{74D342D5-AD74-D748-AED6-4F6E96D88B21}" id="{1658A747-25AE-EC4F-A507-CC1E77F885BB}">
    <text>Possible small PPTT</text>
  </threadedComment>
  <threadedComment ref="BF159" dT="2022-05-14T17:14:20.17" personId="{74D342D5-AD74-D748-AED6-4F6E96D88B21}" id="{38FC983B-6D00-AC41-8630-7F8AC2F651DB}" parentId="{1658A747-25AE-EC4F-A507-CC1E77F885BB}">
    <text>Unlikely; superficial tendon region anisotropy</text>
  </threadedComment>
  <threadedComment ref="BF159" dT="2022-08-24T16:46:54.37" personId="{74D342D5-AD74-D748-AED6-4F6E96D88B21}" id="{2EEA662E-B8CC-C944-90D1-A37111E9AB7E}" parentId="{1658A747-25AE-EC4F-A507-CC1E77F885BB}">
    <text>Small hypoechoic foci evident</text>
  </threadedComment>
  <threadedComment ref="BG159" dT="2022-03-31T22:08:03.88" personId="{74D342D5-AD74-D748-AED6-4F6E96D88B21}" id="{A004BC19-B043-FB47-95B1-5F582166DC5A}">
    <text>Possible small PPTT</text>
  </threadedComment>
  <threadedComment ref="BF161" dT="2022-03-31T21:57:51.06" personId="{74D342D5-AD74-D748-AED6-4F6E96D88B21}" id="{7E6B8A11-B1C6-534F-A4B2-BA7308ECF001}">
    <text>PPTT possible (based on Ultrasound video)</text>
  </threadedComment>
  <threadedComment ref="BD167" dT="2022-02-01T18:45:39.52" personId="{74D342D5-AD74-D748-AED6-4F6E96D88B21}" id="{08A61B81-FC35-7E44-8214-7C449E5D026A}">
    <text>PPTT possible but unlikely; shadowing from patella?</text>
  </threadedComment>
  <threadedComment ref="BF167" dT="2022-03-31T22:21:48.07" personId="{74D342D5-AD74-D748-AED6-4F6E96D88B21}" id="{FE1767E3-DABA-BC44-A5EA-35B293F6DE18}">
    <text>Mild PPTT possible</text>
  </threadedComment>
  <threadedComment ref="BF167" dT="2022-05-14T17:21:16.99" personId="{74D342D5-AD74-D748-AED6-4F6E96D88B21}" id="{BBBF4581-196C-234C-9C0A-BD06081FB0F6}" parentId="{FE1767E3-DABA-BC44-A5EA-35B293F6DE18}">
    <text>Mild/moderate hypoechogenic region on US</text>
  </threadedComment>
  <threadedComment ref="BD168" dT="2022-02-01T18:54:51.08" personId="{74D342D5-AD74-D748-AED6-4F6E96D88B21}" id="{923FF003-2B77-544D-A228-B1FC19AA0444}">
    <text>PPTT likely</text>
  </threadedComment>
  <threadedComment ref="BF168" dT="2022-03-31T21:54:06.59" personId="{74D342D5-AD74-D748-AED6-4F6E96D88B21}" id="{6A0BB402-BCD2-C94F-8095-CDF3D3368FBE}">
    <text>PPTT</text>
  </threadedComment>
  <threadedComment ref="BG168" dT="2022-03-31T21:54:14.40" personId="{74D342D5-AD74-D748-AED6-4F6E96D88B21}" id="{14BA07B4-5993-364A-A001-DF20BC59BA68}">
    <text>PPTT</text>
  </threadedComment>
  <threadedComment ref="BD169" dT="2022-02-01T18:53:24.84" personId="{74D342D5-AD74-D748-AED6-4F6E96D88B21}" id="{852DBB69-644F-9A41-845E-36C04AD55D9A}">
    <text>PPTT likely</text>
  </threadedComment>
  <threadedComment ref="BF169" dT="2022-03-31T21:50:53.57" personId="{74D342D5-AD74-D748-AED6-4F6E96D88B21}" id="{D9214D23-2625-524C-9A07-39B1ED58A18F}">
    <text>PPTT</text>
  </threadedComment>
  <threadedComment ref="BG169" dT="2022-03-31T21:51:05.80" personId="{74D342D5-AD74-D748-AED6-4F6E96D88B21}" id="{C8E5285B-640A-5C42-92F7-117EDCEDBE02}">
    <text>PPTT</text>
  </threadedComment>
  <threadedComment ref="BD170" dT="2022-05-14T21:20:49.70" personId="{74D342D5-AD74-D748-AED6-4F6E96D88B21}" id="{B4B714A1-47A5-8646-9BF7-335CC873929D}">
    <text>Mild HE</text>
  </threadedComment>
  <threadedComment ref="BF170" dT="2022-03-31T22:17:48.72" personId="{74D342D5-AD74-D748-AED6-4F6E96D88B21}" id="{4515EA3A-05B5-644B-B53D-10FDC1D3E388}">
    <text>Possible early stage PPTT</text>
  </threadedComment>
  <threadedComment ref="BF170" dT="2022-05-14T19:16:15.23" personId="{74D342D5-AD74-D748-AED6-4F6E96D88B21}" id="{40AEF1D6-4CB3-E244-83C4-15070A999165}" parentId="{4515EA3A-05B5-644B-B53D-10FDC1D3E388}">
    <text>Mild hypoechogenicity</text>
  </threadedComment>
  <threadedComment ref="BG170" dT="2022-03-31T22:18:00.62" personId="{74D342D5-AD74-D748-AED6-4F6E96D88B21}" id="{116FF4DE-5483-A542-8985-D7B5364BF3BA}">
    <text>Possible early stage PPTT</text>
  </threadedComment>
  <threadedComment ref="BD171" dT="2022-02-01T18:19:25.58" personId="{74D342D5-AD74-D748-AED6-4F6E96D88B21}" id="{4373D828-E8A3-A443-A93B-DA7EF87D23D4}">
    <text>Possible early stage PPTT</text>
  </threadedComment>
  <threadedComment ref="BF171" dT="2022-03-31T22:13:22.18" personId="{74D342D5-AD74-D748-AED6-4F6E96D88B21}" id="{C4C8C714-4DA9-F243-A91F-5F98A5C29DA0}">
    <text>PPTT</text>
  </threadedComment>
  <threadedComment ref="BG171" dT="2022-03-31T22:13:28.02" personId="{74D342D5-AD74-D748-AED6-4F6E96D88B21}" id="{3CAD7379-3E73-F349-B2CA-130F3C7D04E4}">
    <text>PPTT</text>
  </threadedComment>
  <threadedComment ref="BF174" dT="2022-03-31T22:33:35.35" personId="{74D342D5-AD74-D748-AED6-4F6E96D88B21}" id="{AFBF8894-2AAA-6B41-BEE4-8E0A0D9E68AE}">
    <text>PPTT likely</text>
  </threadedComment>
  <threadedComment ref="BF175" dT="2022-03-31T22:31:47.10" personId="{74D342D5-AD74-D748-AED6-4F6E96D88B21}" id="{59D9E75A-2089-0C47-B241-0B0C5C604491}">
    <text>PPTT likely</text>
  </threadedComment>
  <threadedComment ref="BD182" dT="2022-01-13T20:10:01.41" personId="{74D342D5-AD74-D748-AED6-4F6E96D88B21}" id="{896F36EF-DEA1-704A-9929-28BC7A76FEE0}">
    <text>PPTT?</text>
  </threadedComment>
  <threadedComment ref="BD182" dT="2022-05-14T21:15:12.87" personId="{74D342D5-AD74-D748-AED6-4F6E96D88B21}" id="{14433056-D6B1-B849-A77A-9F586F29842B}" parentId="{896F36EF-DEA1-704A-9929-28BC7A76FEE0}">
    <text>HE region</text>
  </threadedComment>
  <threadedComment ref="BD190" dT="2022-01-13T19:55:31.34" personId="{74D342D5-AD74-D748-AED6-4F6E96D88B21}" id="{08EF4940-1070-3F43-83AE-FF457A78C124}">
    <text>PPTT likely</text>
  </threadedComment>
  <threadedComment ref="BD200" dT="2022-01-13T19:59:36.18" personId="{74D342D5-AD74-D748-AED6-4F6E96D88B21}" id="{0155A632-0271-B445-A2D7-9F1D855AAA51}">
    <text>PPTT grade 2</text>
  </threadedComment>
  <threadedComment ref="BD202" dT="2022-02-01T19:27:04.30" personId="{74D342D5-AD74-D748-AED6-4F6E96D88B21}" id="{C332F45F-66C7-B348-8D1E-13570A3E0B33}">
    <text>PPTT likely</text>
  </threadedComment>
  <threadedComment ref="BD203" dT="2022-02-01T19:20:33.12" personId="{74D342D5-AD74-D748-AED6-4F6E96D88B21}" id="{55623D5E-50AB-B648-A6D0-4B3FA1567B19}">
    <text>PPTT likely</text>
  </threadedComment>
  <threadedComment ref="BD208" dT="2022-01-12T23:57:16.57" personId="{74D342D5-AD74-D748-AED6-4F6E96D88B21}" id="{A832BFDB-1701-0249-B587-F5ACC4AA2B48}">
    <text>PPTT likely</text>
  </threadedComment>
  <threadedComment ref="BD212" dT="2022-02-01T15:19:32.19" personId="{74D342D5-AD74-D748-AED6-4F6E96D88B21}" id="{1F533665-DA0C-0649-9C56-16E75E603698}">
    <text>PPTT likely</text>
  </threadedComment>
  <threadedComment ref="BD213" dT="2022-02-01T15:17:24.39" personId="{74D342D5-AD74-D748-AED6-4F6E96D88B21}" id="{9DE556FE-E483-FE4C-A64C-60678A4BC6E5}">
    <text>Anchors in place</text>
  </threadedComment>
  <threadedComment ref="BD216" dT="2022-02-01T14:27:36.06" personId="{74D342D5-AD74-D748-AED6-4F6E96D88B21}" id="{1D6B5016-C19E-244C-91DC-7A30A098D5B6}">
    <text>PPTT likely</text>
  </threadedComment>
  <threadedComment ref="BD217" dT="2022-02-01T14:21:20.47" personId="{74D342D5-AD74-D748-AED6-4F6E96D88B21}" id="{0F106F2B-06E9-6443-93AA-49DD575BC062}">
    <text>PPTT</text>
  </threadedComment>
  <threadedComment ref="BD228" dT="2022-02-01T18:54:57.70" personId="{74D342D5-AD74-D748-AED6-4F6E96D88B21}" id="{4901B82B-4F58-7742-85CF-3D3BCB58CF8B}">
    <text>PPTT likely</text>
  </threadedComment>
  <threadedComment ref="BD229" dT="2022-02-01T18:53:32.00" personId="{74D342D5-AD74-D748-AED6-4F6E96D88B21}" id="{AC4D95EC-AFD4-244C-8C25-C5E6A5B81F2E}">
    <text>PPTT likely</text>
  </threadedComment>
  <threadedComment ref="BD234" dT="2022-02-01T14:11:31.80" personId="{74D342D5-AD74-D748-AED6-4F6E96D88B21}" id="{CB620B2E-882F-CC47-AB5D-E763AD2E49B1}">
    <text>PPTT possible</text>
  </threadedComment>
  <threadedComment ref="BD241" dT="2022-04-06T20:36:33.85" personId="{74D342D5-AD74-D748-AED6-4F6E96D88B21}" id="{F8451F3A-745A-E74B-9845-AF2FB5008EB4}">
    <text>Mild PT likely</text>
  </threadedComment>
  <threadedComment ref="BD242" dT="2022-04-06T20:42:12.62" personId="{74D342D5-AD74-D748-AED6-4F6E96D88B21}" id="{D4D78C69-EA9D-6A40-9DDC-9649F37D5AEF}">
    <text>Moderate PPTT likely</text>
  </threadedComment>
  <threadedComment ref="BD244" dT="2022-05-11T21:01:59.12" personId="{74D342D5-AD74-D748-AED6-4F6E96D88B21}" id="{47279F50-3569-5A44-AE67-F51730473C04}">
    <text>Moderate PPTT</text>
  </threadedComment>
  <threadedComment ref="BD245" dT="2022-05-11T20:55:06.92" personId="{74D342D5-AD74-D748-AED6-4F6E96D88B21}" id="{AFB7784A-62DA-4B4B-AA79-3DB83AB3A14F}">
    <text>PPTT likely</text>
  </threadedComment>
  <threadedComment ref="BD250" dT="2022-04-06T21:02:39.37" personId="{74D342D5-AD74-D748-AED6-4F6E96D88B21}" id="{61DD35BD-36B7-D54C-B1F0-A11C325797C4}">
    <text>Moderate PPTT likely</text>
  </threadedComment>
  <threadedComment ref="BD253" dT="2022-04-11T13:05:51.44" personId="{74D342D5-AD74-D748-AED6-4F6E96D88B21}" id="{DDAABBE4-A84F-6043-B916-640E48723086}">
    <text>PPTT likely</text>
  </threadedComment>
  <threadedComment ref="BD254" dT="2022-04-06T20:55:27.79" personId="{74D342D5-AD74-D748-AED6-4F6E96D88B21}" id="{50045D68-9DFA-CE4B-8636-F4E43E0E0D42}">
    <text>Mild hypoechogenic region</text>
  </threadedComment>
  <threadedComment ref="BD254" dT="2022-05-14T21:27:03.90" personId="{74D342D5-AD74-D748-AED6-4F6E96D88B21}" id="{9ABB76D2-F7A1-9A4C-921C-5FE054D0B4B2}" parentId="{50045D68-9DFA-CE4B-8636-F4E43E0E0D42}">
    <text>Likely superficial tendon anisotropy</text>
  </threadedComment>
  <threadedComment ref="BD257" dT="2022-04-06T21:14:18.57" personId="{74D342D5-AD74-D748-AED6-4F6E96D88B21}" id="{AACA2DF2-B138-8C4A-A07E-55AE5DE19315}">
    <text>Moderate PPTT likely</text>
  </threadedComment>
  <threadedComment ref="BD260" dT="2022-05-11T21:06:02.44" personId="{74D342D5-AD74-D748-AED6-4F6E96D88B21}" id="{DDA0440C-49C0-6B44-9C9E-4B2CB3A0721B}">
    <text>Mild PPTT</text>
  </threadedComment>
  <threadedComment ref="BD261" dT="2022-05-11T21:04:07.55" personId="{74D342D5-AD74-D748-AED6-4F6E96D88B21}" id="{5387EABB-0032-9F46-A82B-BCADFA3E12C8}">
    <text>PPTT likeley</text>
  </threadedComment>
  <threadedComment ref="BD262" dT="2022-04-11T13:21:54.15" personId="{74D342D5-AD74-D748-AED6-4F6E96D88B21}" id="{B7DDF79E-B6DE-2A42-B0E1-0DAA59D7C433}">
    <text>PPTT</text>
  </threadedComment>
  <threadedComment ref="BD263" dT="2022-04-11T13:20:09.36" personId="{74D342D5-AD74-D748-AED6-4F6E96D88B21}" id="{222FFD2D-22B3-2D49-A9AB-DD499B21845D}">
    <text>PPTT</text>
  </threadedComment>
  <threadedComment ref="BD265" dT="2022-04-06T20:44:51.81" personId="{74D342D5-AD74-D748-AED6-4F6E96D88B21}" id="{80C71CBE-3CDF-0E4F-B18B-89CC1560AB2A}">
    <text>PPTT likely</text>
  </threadedComment>
  <threadedComment ref="BD266" dT="2022-05-12T17:05:19.01" personId="{74D342D5-AD74-D748-AED6-4F6E96D88B21}" id="{FCB727D3-0B0F-5F41-9DB5-847F7DBBE3A4}">
    <text>Mild PPTT likely</text>
  </threadedComment>
  <threadedComment ref="BD267" dT="2022-05-12T17:03:36.19" personId="{74D342D5-AD74-D748-AED6-4F6E96D88B21}" id="{77D7AFAB-3CAA-4840-BE33-0EEBD60FA4EE}">
    <text>Hypoechoic region; PPTT likely</text>
  </threadedComment>
  <threadedComment ref="BD270" dT="2022-04-06T21:41:56.04" personId="{74D342D5-AD74-D748-AED6-4F6E96D88B21}" id="{B4471FC0-0EED-E048-9014-3BFDEA52CA03}">
    <text>Moderate PPTT</text>
  </threadedComment>
  <threadedComment ref="BD274" dT="2022-04-06T21:36:14.22" personId="{74D342D5-AD74-D748-AED6-4F6E96D88B21}" id="{0ECDB18E-1B42-0B45-93D9-6E7237B647A7}">
    <text>Moderate PPTT</text>
  </threadedComment>
  <threadedComment ref="BD275" dT="2022-04-06T21:33:04.09" personId="{74D342D5-AD74-D748-AED6-4F6E96D88B21}" id="{22354236-5438-5348-AE15-0A631D39B22A}">
    <text>Moderate/severe PPTT</text>
  </threadedComment>
  <threadedComment ref="BD277" dT="2022-03-31T22:07:55.38" personId="{74D342D5-AD74-D748-AED6-4F6E96D88B21}" id="{C8469ACE-FBD1-E844-9D84-16430E0DAED5}">
    <text>Possible small PPTT</text>
  </threadedComment>
  <threadedComment ref="BD277" dT="2022-05-14T17:14:20.17" personId="{74D342D5-AD74-D748-AED6-4F6E96D88B21}" id="{84578D27-0F91-9B48-9DBF-0F32F1D40B5E}" parentId="{C8469ACE-FBD1-E844-9D84-16430E0DAED5}">
    <text>Unlikely; superficial tendon region anisotropy</text>
  </threadedComment>
  <threadedComment ref="BD277" dT="2022-08-24T16:46:54.37" personId="{74D342D5-AD74-D748-AED6-4F6E96D88B21}" id="{057F2980-B956-4445-A4FF-9134051EB915}" parentId="{C8469ACE-FBD1-E844-9D84-16430E0DAED5}">
    <text>Small hypoechoic foci evident</text>
  </threadedComment>
  <threadedComment ref="BD279" dT="2022-03-31T21:57:51.06" personId="{74D342D5-AD74-D748-AED6-4F6E96D88B21}" id="{995FED5C-A057-2140-BA88-1DC03A397A0B}">
    <text>PPTT possible (based on Ultrasound video)</text>
  </threadedComment>
  <threadedComment ref="BD285" dT="2022-03-31T22:21:48.07" personId="{74D342D5-AD74-D748-AED6-4F6E96D88B21}" id="{F2FD2BF7-547B-B046-946B-5F34119A26EE}">
    <text>Mild PPTT possible</text>
  </threadedComment>
  <threadedComment ref="BD285" dT="2022-05-14T17:21:16.99" personId="{74D342D5-AD74-D748-AED6-4F6E96D88B21}" id="{76B8FC06-E4C9-8E43-B107-DE7E199AE86C}" parentId="{F2FD2BF7-547B-B046-946B-5F34119A26EE}">
    <text>Mild/moderate hypoechogenic region on US</text>
  </threadedComment>
  <threadedComment ref="BD286" dT="2022-03-31T21:54:06.59" personId="{74D342D5-AD74-D748-AED6-4F6E96D88B21}" id="{DB70E99D-6A8E-8D46-91D2-EBA7709505A1}">
    <text>PPTT</text>
  </threadedComment>
  <threadedComment ref="BD287" dT="2022-03-31T21:50:53.57" personId="{74D342D5-AD74-D748-AED6-4F6E96D88B21}" id="{C84221A2-402B-964C-8B5D-9360A5576713}">
    <text>PPTT</text>
  </threadedComment>
  <threadedComment ref="BD288" dT="2022-03-31T22:17:48.72" personId="{74D342D5-AD74-D748-AED6-4F6E96D88B21}" id="{B23FF2A9-1BF1-C44F-8791-4E2D38014DCA}">
    <text>Possible early stage PPTT</text>
  </threadedComment>
  <threadedComment ref="BD288" dT="2022-05-14T19:16:15.23" personId="{74D342D5-AD74-D748-AED6-4F6E96D88B21}" id="{7150A177-BA6D-7F48-A79A-5F25597D9D9C}" parentId="{B23FF2A9-1BF1-C44F-8791-4E2D38014DCA}">
    <text>Mild hypoechogenicity</text>
  </threadedComment>
  <threadedComment ref="BD289" dT="2022-03-31T22:13:22.18" personId="{74D342D5-AD74-D748-AED6-4F6E96D88B21}" id="{48867C5C-1E92-8D46-BFA1-120DA7B9FE92}">
    <text>PPTT</text>
  </threadedComment>
  <threadedComment ref="BD292" dT="2022-03-31T22:33:35.35" personId="{74D342D5-AD74-D748-AED6-4F6E96D88B21}" id="{75A32B34-A219-0044-B7E6-B7D836FA90B3}">
    <text>PPTT likely</text>
  </threadedComment>
  <threadedComment ref="BD293" dT="2022-03-31T22:31:47.10" personId="{74D342D5-AD74-D748-AED6-4F6E96D88B21}" id="{BD16C7CB-F532-5645-8ACC-6E7D91C5EC8C}">
    <text>PPTT likely</text>
  </threadedComment>
  <threadedComment ref="BD298" dT="2022-04-06T20:38:31.15" personId="{74D342D5-AD74-D748-AED6-4F6E96D88B21}" id="{672E6FE5-82C9-F944-A6F0-19B4FF4300E0}">
    <text>Mild PPTT likely</text>
  </threadedComment>
  <threadedComment ref="BD299" dT="2022-04-06T20:36:41.02" personId="{74D342D5-AD74-D748-AED6-4F6E96D88B21}" id="{09961102-F4EF-F440-B5B8-E39F98774D26}">
    <text>Mild PT likely</text>
  </threadedComment>
  <threadedComment ref="BD302" dT="2022-05-11T21:02:05.63" personId="{74D342D5-AD74-D748-AED6-4F6E96D88B21}" id="{98CFE0FE-6C05-8F49-8A97-4F271977AA2C}">
    <text>Moderate PPTT</text>
  </threadedComment>
  <threadedComment ref="BD308" dT="2022-04-06T21:02:47.88" personId="{74D342D5-AD74-D748-AED6-4F6E96D88B21}" id="{2EBB14E8-4D55-0543-9DF1-72DE5335C6DD}">
    <text>Moderate PPTT likely</text>
  </threadedComment>
  <threadedComment ref="BD312" dT="2022-04-06T20:55:39.75" personId="{74D342D5-AD74-D748-AED6-4F6E96D88B21}" id="{EE56EDFC-5135-4942-96C6-BF76452A979C}">
    <text>Mild hypoechogenic region</text>
  </threadedComment>
  <threadedComment ref="BD312" dT="2022-05-14T21:27:15.87" personId="{74D342D5-AD74-D748-AED6-4F6E96D88B21}" id="{BB83926C-4DA5-CE49-B6E1-CC92FF4FC6D2}" parentId="{EE56EDFC-5135-4942-96C6-BF76452A979C}">
    <text>Likely superficial tendon anisotropy</text>
  </threadedComment>
  <threadedComment ref="BD315" dT="2022-04-06T21:14:27.28" personId="{74D342D5-AD74-D748-AED6-4F6E96D88B21}" id="{DAB10606-27DA-C842-9204-60F230A20333}">
    <text>Moderate PPTT likely</text>
  </threadedComment>
  <threadedComment ref="BD318" dT="2022-05-11T21:06:11.99" personId="{74D342D5-AD74-D748-AED6-4F6E96D88B21}" id="{500A441F-8AFF-3F4A-AA2D-C40CB0D84DB5}">
    <text>Mild PPTT</text>
  </threadedComment>
  <threadedComment ref="BD319" dT="2022-05-11T21:04:22.08" personId="{74D342D5-AD74-D748-AED6-4F6E96D88B21}" id="{6F596B05-356E-1D48-8EFC-C557D817B2C4}">
    <text xml:space="preserve">PPTT most likely </text>
  </threadedComment>
  <threadedComment ref="BD321" dT="2022-04-11T13:20:14.50" personId="{74D342D5-AD74-D748-AED6-4F6E96D88B21}" id="{70F0228F-9F2F-334E-9682-33B277049166}">
    <text>PPTT</text>
  </threadedComment>
  <threadedComment ref="BD324" dT="2022-05-12T17:05:28.31" personId="{74D342D5-AD74-D748-AED6-4F6E96D88B21}" id="{EA97F70D-0D15-C14C-98A0-17D260A89F5B}">
    <text>Mild PPTT likely</text>
  </threadedComment>
  <threadedComment ref="BD325" dT="2022-05-12T17:03:48.58" personId="{74D342D5-AD74-D748-AED6-4F6E96D88B21}" id="{DE99E7B2-DDAA-EB40-845A-5822532BD8DC}">
    <text>Hypoechoic region; PPTT likely</text>
  </threadedComment>
  <threadedComment ref="BD328" dT="2022-04-06T21:42:04.14" personId="{74D342D5-AD74-D748-AED6-4F6E96D88B21}" id="{76493158-6352-064E-B4B7-EEB9359058B1}">
    <text>Moderate PPTT</text>
  </threadedComment>
  <threadedComment ref="BD332" dT="2022-04-06T21:36:21.14" personId="{74D342D5-AD74-D748-AED6-4F6E96D88B21}" id="{5626DE2B-CC0A-3344-BB17-5863A0F373A7}">
    <text>Moderate PPTT</text>
  </threadedComment>
  <threadedComment ref="BD333" dT="2022-04-06T21:33:12.51" personId="{74D342D5-AD74-D748-AED6-4F6E96D88B21}" id="{166B2133-727F-6D41-8354-44E23E0BBE66}">
    <text>Moderate/severe PPTT</text>
  </threadedComment>
  <threadedComment ref="BD335" dT="2022-03-31T22:08:03.88" personId="{74D342D5-AD74-D748-AED6-4F6E96D88B21}" id="{6F9ADB96-51E4-8E49-A335-306698E6CC7A}">
    <text>Possible small PPTT</text>
  </threadedComment>
  <threadedComment ref="BD344" dT="2022-03-31T21:54:14.40" personId="{74D342D5-AD74-D748-AED6-4F6E96D88B21}" id="{C64888F5-02AA-8D4B-AC20-C84A74554138}">
    <text>PPTT</text>
  </threadedComment>
  <threadedComment ref="BD345" dT="2022-03-31T21:51:05.80" personId="{74D342D5-AD74-D748-AED6-4F6E96D88B21}" id="{62382771-59CB-CE44-8425-03ED98EAB289}">
    <text>PPTT</text>
  </threadedComment>
  <threadedComment ref="BD346" dT="2022-03-31T22:18:00.62" personId="{74D342D5-AD74-D748-AED6-4F6E96D88B21}" id="{1C165130-E200-B748-BBD0-4DB5F3859FE1}">
    <text>Possible early stage PPTT</text>
  </threadedComment>
  <threadedComment ref="BD347" dT="2022-03-31T22:13:28.02" personId="{74D342D5-AD74-D748-AED6-4F6E96D88B21}" id="{C9021EC5-B6F3-DA44-AEF2-1CBD1C8BF325}">
    <text>PPTT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3AB8-79D4-274B-A649-5CBC5C6813F1}">
  <dimension ref="A1:CR361"/>
  <sheetViews>
    <sheetView zoomScaleNormal="90" workbookViewId="0">
      <pane xSplit="1" topLeftCell="AN1" activePane="topRight" state="frozen"/>
      <selection pane="topRight" activeCell="AV14" sqref="AV14"/>
    </sheetView>
  </sheetViews>
  <sheetFormatPr baseColWidth="10" defaultRowHeight="16" x14ac:dyDescent="0.2"/>
  <cols>
    <col min="2" max="2" width="8.33203125" customWidth="1"/>
    <col min="3" max="3" width="8.33203125" style="2" customWidth="1"/>
    <col min="5" max="6" width="11.6640625" customWidth="1"/>
    <col min="15" max="15" width="12" customWidth="1"/>
    <col min="18" max="18" width="10.83203125" style="2"/>
    <col min="19" max="19" width="11.5" customWidth="1"/>
    <col min="28" max="28" width="10.83203125" style="40"/>
    <col min="37" max="37" width="10.83203125" style="40"/>
    <col min="46" max="46" width="10.83203125" style="39"/>
    <col min="47" max="47" width="10.5" style="1" customWidth="1"/>
    <col min="48" max="48" width="10.5" customWidth="1"/>
    <col min="49" max="49" width="9.6640625" customWidth="1"/>
    <col min="50" max="50" width="11.5" customWidth="1"/>
    <col min="51" max="51" width="8.33203125" customWidth="1"/>
    <col min="52" max="52" width="15.83203125" customWidth="1"/>
    <col min="53" max="53" width="16.1640625" customWidth="1"/>
    <col min="54" max="54" width="9.1640625" customWidth="1"/>
    <col min="55" max="55" width="8.6640625" customWidth="1"/>
    <col min="56" max="56" width="10.83203125" style="1"/>
  </cols>
  <sheetData>
    <row r="1" spans="1:59" s="8" customFormat="1" ht="16" customHeight="1" x14ac:dyDescent="0.2">
      <c r="A1" s="18" t="s">
        <v>100</v>
      </c>
      <c r="B1" s="20" t="s">
        <v>118</v>
      </c>
      <c r="C1" s="28" t="s">
        <v>119</v>
      </c>
      <c r="D1" s="20" t="s">
        <v>104</v>
      </c>
      <c r="E1" s="20" t="s">
        <v>112</v>
      </c>
      <c r="F1" s="20" t="s">
        <v>113</v>
      </c>
      <c r="G1" s="19" t="s">
        <v>99</v>
      </c>
      <c r="H1" s="15" t="s">
        <v>98</v>
      </c>
      <c r="I1" s="15" t="s">
        <v>97</v>
      </c>
      <c r="J1" s="15" t="s">
        <v>122</v>
      </c>
      <c r="K1" s="15" t="s">
        <v>96</v>
      </c>
      <c r="L1" s="15" t="s">
        <v>95</v>
      </c>
      <c r="M1" s="16" t="s">
        <v>94</v>
      </c>
      <c r="N1" s="15" t="s">
        <v>93</v>
      </c>
      <c r="O1" s="15" t="s">
        <v>92</v>
      </c>
      <c r="P1" s="15" t="s">
        <v>91</v>
      </c>
      <c r="Q1" s="15" t="s">
        <v>90</v>
      </c>
      <c r="R1" s="14" t="s">
        <v>89</v>
      </c>
      <c r="S1" s="21" t="s">
        <v>88</v>
      </c>
      <c r="T1" s="22" t="s">
        <v>106</v>
      </c>
      <c r="U1" s="22" t="s">
        <v>87</v>
      </c>
      <c r="V1" s="22" t="s">
        <v>120</v>
      </c>
      <c r="W1" s="27" t="s">
        <v>115</v>
      </c>
      <c r="X1" s="23" t="s">
        <v>86</v>
      </c>
      <c r="Y1" s="23" t="s">
        <v>85</v>
      </c>
      <c r="Z1" s="23" t="s">
        <v>85</v>
      </c>
      <c r="AA1" s="23" t="s">
        <v>84</v>
      </c>
      <c r="AB1" s="23" t="s">
        <v>83</v>
      </c>
      <c r="AC1" s="21" t="s">
        <v>82</v>
      </c>
      <c r="AD1" s="22" t="s">
        <v>107</v>
      </c>
      <c r="AE1" s="22" t="s">
        <v>81</v>
      </c>
      <c r="AF1" s="27" t="s">
        <v>116</v>
      </c>
      <c r="AG1" s="23" t="s">
        <v>80</v>
      </c>
      <c r="AH1" s="23" t="s">
        <v>79</v>
      </c>
      <c r="AI1" s="23" t="s">
        <v>79</v>
      </c>
      <c r="AJ1" s="23" t="s">
        <v>78</v>
      </c>
      <c r="AK1" s="23" t="s">
        <v>77</v>
      </c>
      <c r="AL1" s="21" t="s">
        <v>76</v>
      </c>
      <c r="AM1" s="22" t="s">
        <v>108</v>
      </c>
      <c r="AN1" s="22" t="s">
        <v>75</v>
      </c>
      <c r="AO1" s="27" t="s">
        <v>117</v>
      </c>
      <c r="AP1" s="23" t="s">
        <v>74</v>
      </c>
      <c r="AQ1" s="23" t="s">
        <v>73</v>
      </c>
      <c r="AR1" s="23" t="s">
        <v>73</v>
      </c>
      <c r="AS1" s="23" t="s">
        <v>72</v>
      </c>
      <c r="AT1" s="24" t="s">
        <v>71</v>
      </c>
      <c r="AU1" s="25" t="s">
        <v>101</v>
      </c>
      <c r="AV1" s="30" t="s">
        <v>121</v>
      </c>
      <c r="AW1" s="17" t="s">
        <v>105</v>
      </c>
      <c r="AX1" s="17" t="s">
        <v>102</v>
      </c>
      <c r="AY1" s="17" t="s">
        <v>103</v>
      </c>
      <c r="AZ1" s="17" t="s">
        <v>109</v>
      </c>
      <c r="BA1" s="17" t="s">
        <v>110</v>
      </c>
      <c r="BB1" s="17" t="s">
        <v>111</v>
      </c>
      <c r="BC1" s="29" t="s">
        <v>114</v>
      </c>
      <c r="BD1" s="9" t="s">
        <v>125</v>
      </c>
      <c r="BE1" s="8" t="s">
        <v>126</v>
      </c>
      <c r="BF1" s="8" t="s">
        <v>123</v>
      </c>
      <c r="BG1" s="8" t="s">
        <v>124</v>
      </c>
    </row>
    <row r="2" spans="1:59" x14ac:dyDescent="0.2">
      <c r="A2" t="s">
        <v>70</v>
      </c>
      <c r="B2">
        <v>1</v>
      </c>
      <c r="C2" s="2">
        <v>1</v>
      </c>
      <c r="D2">
        <v>1</v>
      </c>
      <c r="E2">
        <v>1</v>
      </c>
      <c r="F2">
        <v>1</v>
      </c>
      <c r="G2">
        <v>1</v>
      </c>
      <c r="H2">
        <v>75</v>
      </c>
      <c r="I2">
        <v>170</v>
      </c>
      <c r="J2">
        <f>I2/(H2^2)*703</f>
        <v>21.246222222222222</v>
      </c>
      <c r="K2">
        <v>19</v>
      </c>
      <c r="L2">
        <v>1</v>
      </c>
      <c r="M2" t="s">
        <v>0</v>
      </c>
      <c r="N2">
        <v>17</v>
      </c>
      <c r="O2">
        <v>4</v>
      </c>
      <c r="P2">
        <v>0</v>
      </c>
      <c r="Q2">
        <v>0</v>
      </c>
      <c r="R2" s="2">
        <v>1</v>
      </c>
      <c r="S2">
        <v>95</v>
      </c>
      <c r="T2">
        <v>0</v>
      </c>
      <c r="U2">
        <v>0</v>
      </c>
      <c r="V2">
        <v>0</v>
      </c>
      <c r="W2">
        <v>0</v>
      </c>
      <c r="X2">
        <v>4.2</v>
      </c>
      <c r="Y2">
        <v>4.3</v>
      </c>
      <c r="Z2" s="31">
        <v>4.3</v>
      </c>
      <c r="AA2" s="31">
        <v>4.4000000000000004</v>
      </c>
      <c r="AB2" s="40">
        <v>4.3000000000000007</v>
      </c>
      <c r="AC2">
        <v>94</v>
      </c>
      <c r="AD2">
        <v>0</v>
      </c>
      <c r="AE2">
        <v>0</v>
      </c>
      <c r="AF2">
        <v>0</v>
      </c>
      <c r="AG2">
        <v>4.5</v>
      </c>
      <c r="AH2">
        <v>4.5999999999999996</v>
      </c>
      <c r="AI2" s="31">
        <v>4.5999999999999996</v>
      </c>
      <c r="AJ2" s="31">
        <v>4.8</v>
      </c>
      <c r="AK2" s="40">
        <v>4.625</v>
      </c>
      <c r="AL2">
        <v>98</v>
      </c>
      <c r="AM2">
        <v>0</v>
      </c>
      <c r="AN2">
        <v>0</v>
      </c>
      <c r="AO2">
        <v>0</v>
      </c>
      <c r="AP2">
        <v>6.3</v>
      </c>
      <c r="AQ2">
        <v>6.2</v>
      </c>
      <c r="AR2" s="31">
        <v>6.6</v>
      </c>
      <c r="AS2" s="31">
        <v>6</v>
      </c>
      <c r="AT2" s="39">
        <v>6.2750000000000004</v>
      </c>
      <c r="AU2" s="1">
        <v>0</v>
      </c>
      <c r="AV2" s="1">
        <v>0</v>
      </c>
      <c r="AW2">
        <v>0</v>
      </c>
      <c r="AX2">
        <v>0</v>
      </c>
      <c r="AY2">
        <v>0</v>
      </c>
      <c r="AZ2">
        <f t="shared" ref="AZ2:AZ33" si="0">S2-AC2</f>
        <v>1</v>
      </c>
      <c r="BA2">
        <f t="shared" ref="BA2:BA33" si="1">S2-AL2</f>
        <v>-3</v>
      </c>
      <c r="BB2">
        <v>0</v>
      </c>
      <c r="BC2">
        <v>0</v>
      </c>
      <c r="BD2" s="1">
        <v>4.2</v>
      </c>
      <c r="BE2" s="31">
        <v>4.3</v>
      </c>
      <c r="BF2">
        <v>4.2</v>
      </c>
      <c r="BG2">
        <v>4.3</v>
      </c>
    </row>
    <row r="3" spans="1:59" x14ac:dyDescent="0.2">
      <c r="A3" t="s">
        <v>69</v>
      </c>
      <c r="B3">
        <v>1</v>
      </c>
      <c r="C3" s="2">
        <v>1</v>
      </c>
      <c r="D3">
        <v>1</v>
      </c>
      <c r="E3">
        <v>1</v>
      </c>
      <c r="F3">
        <v>1</v>
      </c>
      <c r="G3">
        <v>1</v>
      </c>
      <c r="H3">
        <v>75</v>
      </c>
      <c r="I3">
        <v>170</v>
      </c>
      <c r="J3">
        <f t="shared" ref="J3:J66" si="2">I3/(H3^2)*703</f>
        <v>21.246222222222222</v>
      </c>
      <c r="K3">
        <v>19</v>
      </c>
      <c r="L3">
        <v>1</v>
      </c>
      <c r="M3" t="s">
        <v>0</v>
      </c>
      <c r="N3">
        <v>17</v>
      </c>
      <c r="O3">
        <v>4</v>
      </c>
      <c r="P3">
        <v>0</v>
      </c>
      <c r="Q3">
        <v>0</v>
      </c>
      <c r="R3" s="2">
        <v>1</v>
      </c>
      <c r="S3">
        <v>100</v>
      </c>
      <c r="T3">
        <v>0</v>
      </c>
      <c r="U3">
        <v>1</v>
      </c>
      <c r="V3">
        <v>0</v>
      </c>
      <c r="W3">
        <v>0</v>
      </c>
      <c r="X3">
        <v>4.4000000000000004</v>
      </c>
      <c r="Y3">
        <v>4.9000000000000004</v>
      </c>
      <c r="Z3" s="31">
        <v>4.3</v>
      </c>
      <c r="AA3" s="31">
        <v>4.5999999999999996</v>
      </c>
      <c r="AB3" s="40">
        <v>4.5500000000000007</v>
      </c>
      <c r="AC3">
        <v>100</v>
      </c>
      <c r="AD3">
        <v>0</v>
      </c>
      <c r="AE3">
        <v>0</v>
      </c>
      <c r="AF3">
        <v>0</v>
      </c>
      <c r="AG3">
        <v>4.4000000000000004</v>
      </c>
      <c r="AH3">
        <v>4.5</v>
      </c>
      <c r="AI3" s="31">
        <v>4.7</v>
      </c>
      <c r="AJ3" s="31">
        <v>4.4000000000000004</v>
      </c>
      <c r="AK3" s="40">
        <v>4.5</v>
      </c>
      <c r="AL3">
        <v>98</v>
      </c>
      <c r="AM3">
        <v>0</v>
      </c>
      <c r="AN3">
        <v>1</v>
      </c>
      <c r="AO3">
        <v>1</v>
      </c>
      <c r="AP3">
        <v>5.9</v>
      </c>
      <c r="AQ3">
        <v>6</v>
      </c>
      <c r="AR3" s="31">
        <v>6.3</v>
      </c>
      <c r="AS3" s="31">
        <v>6.9</v>
      </c>
      <c r="AT3" s="39">
        <v>6.2750000000000004</v>
      </c>
      <c r="AU3" s="1">
        <v>0</v>
      </c>
      <c r="AV3" s="1">
        <v>0</v>
      </c>
      <c r="AW3">
        <v>0</v>
      </c>
      <c r="AX3">
        <v>0</v>
      </c>
      <c r="AY3">
        <v>0</v>
      </c>
      <c r="AZ3">
        <f t="shared" si="0"/>
        <v>0</v>
      </c>
      <c r="BA3">
        <f t="shared" si="1"/>
        <v>2</v>
      </c>
      <c r="BB3">
        <v>0</v>
      </c>
      <c r="BC3">
        <v>1</v>
      </c>
      <c r="BD3" s="1">
        <v>4.4000000000000004</v>
      </c>
      <c r="BE3" s="31">
        <v>4.3</v>
      </c>
      <c r="BF3">
        <v>4.4000000000000004</v>
      </c>
      <c r="BG3">
        <v>4.9000000000000004</v>
      </c>
    </row>
    <row r="4" spans="1:59" x14ac:dyDescent="0.2">
      <c r="A4" t="s">
        <v>68</v>
      </c>
      <c r="B4">
        <v>2</v>
      </c>
      <c r="C4" s="2">
        <v>1</v>
      </c>
      <c r="D4">
        <v>1</v>
      </c>
      <c r="E4">
        <v>1</v>
      </c>
      <c r="F4">
        <v>1</v>
      </c>
      <c r="G4">
        <v>1</v>
      </c>
      <c r="H4">
        <v>71</v>
      </c>
      <c r="I4">
        <v>180</v>
      </c>
      <c r="J4">
        <f t="shared" si="2"/>
        <v>25.102162269390995</v>
      </c>
      <c r="K4">
        <v>22</v>
      </c>
      <c r="L4">
        <v>1</v>
      </c>
      <c r="M4" s="11" t="s">
        <v>66</v>
      </c>
      <c r="N4">
        <v>12</v>
      </c>
      <c r="O4">
        <v>5</v>
      </c>
      <c r="P4">
        <v>0</v>
      </c>
      <c r="Q4">
        <v>0</v>
      </c>
      <c r="R4" s="2">
        <v>0</v>
      </c>
      <c r="S4">
        <v>98</v>
      </c>
      <c r="T4">
        <v>0</v>
      </c>
      <c r="U4">
        <v>0</v>
      </c>
      <c r="V4">
        <v>0</v>
      </c>
      <c r="W4">
        <v>0</v>
      </c>
      <c r="X4">
        <v>3.5</v>
      </c>
      <c r="Y4">
        <v>3.2</v>
      </c>
      <c r="Z4" s="31">
        <v>3.6</v>
      </c>
      <c r="AA4" s="31">
        <v>3.7</v>
      </c>
      <c r="AB4" s="40">
        <v>3.5</v>
      </c>
      <c r="AC4">
        <v>70</v>
      </c>
      <c r="AD4">
        <v>0</v>
      </c>
      <c r="AE4">
        <v>0</v>
      </c>
      <c r="AF4">
        <v>0</v>
      </c>
      <c r="AG4">
        <v>3.7</v>
      </c>
      <c r="AH4">
        <v>3.6</v>
      </c>
      <c r="AI4" s="31">
        <v>3.9</v>
      </c>
      <c r="AJ4" s="31">
        <v>3.9</v>
      </c>
      <c r="AK4" s="40">
        <v>3.7750000000000004</v>
      </c>
      <c r="AL4">
        <v>89</v>
      </c>
      <c r="AM4">
        <v>1</v>
      </c>
      <c r="AN4">
        <v>0</v>
      </c>
      <c r="AO4">
        <v>1</v>
      </c>
      <c r="AP4">
        <v>3.7</v>
      </c>
      <c r="AQ4" s="7">
        <v>3.9</v>
      </c>
      <c r="AR4" s="31">
        <v>3.9</v>
      </c>
      <c r="AS4" s="31">
        <v>4</v>
      </c>
      <c r="AT4" s="39">
        <v>3.875</v>
      </c>
      <c r="AU4" s="1">
        <v>0</v>
      </c>
      <c r="AV4" s="1">
        <v>0</v>
      </c>
      <c r="AW4">
        <v>0</v>
      </c>
      <c r="AX4">
        <v>1</v>
      </c>
      <c r="AY4">
        <v>1</v>
      </c>
      <c r="AZ4">
        <f t="shared" si="0"/>
        <v>28</v>
      </c>
      <c r="BA4">
        <f t="shared" si="1"/>
        <v>9</v>
      </c>
      <c r="BB4">
        <v>1</v>
      </c>
      <c r="BC4">
        <v>1</v>
      </c>
      <c r="BD4" s="1">
        <v>3.5</v>
      </c>
      <c r="BE4" s="31">
        <v>3.6</v>
      </c>
      <c r="BF4">
        <v>3.5</v>
      </c>
      <c r="BG4">
        <v>3.2</v>
      </c>
    </row>
    <row r="5" spans="1:59" x14ac:dyDescent="0.2">
      <c r="A5" t="s">
        <v>67</v>
      </c>
      <c r="B5">
        <v>2</v>
      </c>
      <c r="C5" s="2">
        <v>1</v>
      </c>
      <c r="D5">
        <v>1</v>
      </c>
      <c r="E5">
        <v>0</v>
      </c>
      <c r="F5">
        <v>1</v>
      </c>
      <c r="G5">
        <v>1</v>
      </c>
      <c r="H5">
        <v>71</v>
      </c>
      <c r="I5">
        <v>180</v>
      </c>
      <c r="J5">
        <f t="shared" si="2"/>
        <v>25.102162269390995</v>
      </c>
      <c r="K5">
        <v>22</v>
      </c>
      <c r="L5">
        <v>1</v>
      </c>
      <c r="M5" s="11" t="s">
        <v>66</v>
      </c>
      <c r="N5">
        <v>12</v>
      </c>
      <c r="O5">
        <v>5</v>
      </c>
      <c r="P5">
        <v>1</v>
      </c>
      <c r="Q5">
        <v>0</v>
      </c>
      <c r="R5" s="2">
        <v>0</v>
      </c>
      <c r="S5">
        <v>51</v>
      </c>
      <c r="T5">
        <v>0</v>
      </c>
      <c r="U5">
        <v>0</v>
      </c>
      <c r="V5">
        <v>1</v>
      </c>
      <c r="W5">
        <v>0</v>
      </c>
      <c r="X5">
        <v>5</v>
      </c>
      <c r="Y5">
        <v>4.9000000000000004</v>
      </c>
      <c r="Z5" s="31">
        <v>5.0999999999999996</v>
      </c>
      <c r="AA5" s="31">
        <v>5.2</v>
      </c>
      <c r="AB5" s="40">
        <v>5.05</v>
      </c>
      <c r="AC5">
        <v>56</v>
      </c>
      <c r="AD5">
        <v>0</v>
      </c>
      <c r="AE5">
        <v>0</v>
      </c>
      <c r="AF5">
        <v>0</v>
      </c>
      <c r="AG5">
        <v>5.0999999999999996</v>
      </c>
      <c r="AH5">
        <v>5.3</v>
      </c>
      <c r="AI5" s="31">
        <v>5.2</v>
      </c>
      <c r="AJ5" s="31">
        <v>5.3</v>
      </c>
      <c r="AK5" s="40">
        <v>5.2249999999999996</v>
      </c>
      <c r="AL5">
        <v>76</v>
      </c>
      <c r="AM5">
        <v>0</v>
      </c>
      <c r="AN5">
        <v>0</v>
      </c>
      <c r="AO5">
        <v>1</v>
      </c>
      <c r="AP5" s="7">
        <v>6.8</v>
      </c>
      <c r="AQ5" s="7">
        <v>6.8</v>
      </c>
      <c r="AR5" s="31">
        <v>7.4</v>
      </c>
      <c r="AS5" s="31">
        <v>6.8</v>
      </c>
      <c r="AT5" s="39">
        <v>6.95</v>
      </c>
      <c r="AU5" s="1">
        <v>0</v>
      </c>
      <c r="AV5" s="1">
        <v>0</v>
      </c>
      <c r="AW5">
        <v>0</v>
      </c>
      <c r="AX5">
        <v>1</v>
      </c>
      <c r="AY5">
        <v>1</v>
      </c>
      <c r="AZ5">
        <f t="shared" si="0"/>
        <v>-5</v>
      </c>
      <c r="BA5">
        <f t="shared" si="1"/>
        <v>-25</v>
      </c>
      <c r="BB5">
        <v>0</v>
      </c>
      <c r="BC5">
        <v>1</v>
      </c>
      <c r="BD5" s="1">
        <v>5</v>
      </c>
      <c r="BE5" s="31">
        <v>5.0999999999999996</v>
      </c>
      <c r="BF5">
        <v>5</v>
      </c>
      <c r="BG5">
        <v>4.9000000000000004</v>
      </c>
    </row>
    <row r="6" spans="1:59" x14ac:dyDescent="0.2">
      <c r="A6" t="s">
        <v>65</v>
      </c>
      <c r="B6">
        <v>3</v>
      </c>
      <c r="C6" s="2">
        <v>1</v>
      </c>
      <c r="D6">
        <v>1</v>
      </c>
      <c r="E6">
        <v>1</v>
      </c>
      <c r="F6">
        <v>1</v>
      </c>
      <c r="G6">
        <v>1</v>
      </c>
      <c r="H6">
        <v>69</v>
      </c>
      <c r="I6">
        <v>165</v>
      </c>
      <c r="J6">
        <f t="shared" si="2"/>
        <v>24.363579080025207</v>
      </c>
      <c r="K6">
        <v>22</v>
      </c>
      <c r="L6">
        <v>1</v>
      </c>
      <c r="M6" t="s">
        <v>12</v>
      </c>
      <c r="N6">
        <v>14</v>
      </c>
      <c r="O6">
        <v>8</v>
      </c>
      <c r="P6">
        <v>0</v>
      </c>
      <c r="Q6">
        <v>0</v>
      </c>
      <c r="R6" s="2">
        <v>0</v>
      </c>
      <c r="S6">
        <v>100</v>
      </c>
      <c r="T6">
        <v>0</v>
      </c>
      <c r="U6">
        <v>0</v>
      </c>
      <c r="V6">
        <v>0</v>
      </c>
      <c r="W6">
        <v>0</v>
      </c>
      <c r="X6">
        <v>3.8</v>
      </c>
      <c r="Y6">
        <v>4.4000000000000004</v>
      </c>
      <c r="Z6" s="31">
        <v>3.6</v>
      </c>
      <c r="AA6" s="31">
        <v>4.3</v>
      </c>
      <c r="AB6" s="40">
        <v>4.0249999999999995</v>
      </c>
      <c r="AC6">
        <v>100</v>
      </c>
      <c r="AD6">
        <v>0</v>
      </c>
      <c r="AE6">
        <v>0</v>
      </c>
      <c r="AF6">
        <v>1</v>
      </c>
      <c r="AG6">
        <v>4.5999999999999996</v>
      </c>
      <c r="AH6" s="7">
        <v>5.3</v>
      </c>
      <c r="AI6" s="31">
        <v>4.4000000000000004</v>
      </c>
      <c r="AJ6" s="31">
        <v>4.4000000000000004</v>
      </c>
      <c r="AK6" s="40">
        <v>4.6749999999999998</v>
      </c>
      <c r="AL6">
        <v>100</v>
      </c>
      <c r="AM6">
        <v>0</v>
      </c>
      <c r="AN6">
        <v>0</v>
      </c>
      <c r="AO6">
        <v>1</v>
      </c>
      <c r="AP6" s="7">
        <v>5.2</v>
      </c>
      <c r="AQ6" s="7">
        <v>4.3</v>
      </c>
      <c r="AR6" s="31">
        <v>5.4</v>
      </c>
      <c r="AS6" s="31">
        <v>4.4000000000000004</v>
      </c>
      <c r="AT6" s="39">
        <v>4.8250000000000002</v>
      </c>
      <c r="AU6" s="1">
        <v>0</v>
      </c>
      <c r="AV6" s="1">
        <v>0</v>
      </c>
      <c r="AW6">
        <v>0</v>
      </c>
      <c r="AX6">
        <v>0</v>
      </c>
      <c r="AY6">
        <v>0</v>
      </c>
      <c r="AZ6">
        <f t="shared" si="0"/>
        <v>0</v>
      </c>
      <c r="BA6">
        <f t="shared" si="1"/>
        <v>0</v>
      </c>
      <c r="BB6">
        <v>0</v>
      </c>
      <c r="BC6">
        <v>1</v>
      </c>
      <c r="BD6" s="1">
        <v>3.8</v>
      </c>
      <c r="BE6" s="31">
        <v>3.6</v>
      </c>
      <c r="BF6">
        <v>3.8</v>
      </c>
      <c r="BG6">
        <v>4.4000000000000004</v>
      </c>
    </row>
    <row r="7" spans="1:59" x14ac:dyDescent="0.2">
      <c r="A7" t="s">
        <v>64</v>
      </c>
      <c r="B7">
        <v>3</v>
      </c>
      <c r="C7" s="2">
        <v>1</v>
      </c>
      <c r="D7">
        <v>1</v>
      </c>
      <c r="E7">
        <v>1</v>
      </c>
      <c r="F7">
        <v>1</v>
      </c>
      <c r="G7">
        <v>1</v>
      </c>
      <c r="H7">
        <v>69</v>
      </c>
      <c r="I7">
        <v>165</v>
      </c>
      <c r="J7">
        <f t="shared" si="2"/>
        <v>24.363579080025207</v>
      </c>
      <c r="K7">
        <v>22</v>
      </c>
      <c r="L7">
        <v>1</v>
      </c>
      <c r="M7" t="s">
        <v>12</v>
      </c>
      <c r="N7">
        <v>14</v>
      </c>
      <c r="O7">
        <v>8</v>
      </c>
      <c r="P7">
        <v>1</v>
      </c>
      <c r="Q7">
        <v>0</v>
      </c>
      <c r="R7" s="2">
        <v>0</v>
      </c>
      <c r="S7">
        <v>100</v>
      </c>
      <c r="T7">
        <v>0</v>
      </c>
      <c r="U7">
        <v>0</v>
      </c>
      <c r="V7">
        <v>0</v>
      </c>
      <c r="W7">
        <v>0</v>
      </c>
      <c r="X7">
        <v>3.2</v>
      </c>
      <c r="Y7">
        <v>3.2</v>
      </c>
      <c r="Z7" s="31">
        <v>3</v>
      </c>
      <c r="AA7" s="31">
        <v>3.2</v>
      </c>
      <c r="AB7" s="40">
        <v>3.1500000000000004</v>
      </c>
      <c r="AC7">
        <v>100</v>
      </c>
      <c r="AD7">
        <v>0</v>
      </c>
      <c r="AE7">
        <v>0</v>
      </c>
      <c r="AF7">
        <v>0</v>
      </c>
      <c r="AG7">
        <v>3.7</v>
      </c>
      <c r="AH7">
        <v>4</v>
      </c>
      <c r="AI7" s="31">
        <v>3.8</v>
      </c>
      <c r="AJ7" s="31">
        <v>4</v>
      </c>
      <c r="AK7" s="40">
        <v>3.875</v>
      </c>
      <c r="AL7">
        <v>100</v>
      </c>
      <c r="AM7">
        <v>0</v>
      </c>
      <c r="AN7">
        <v>0</v>
      </c>
      <c r="AO7">
        <v>1</v>
      </c>
      <c r="AP7">
        <v>3.3</v>
      </c>
      <c r="AQ7">
        <v>3.1</v>
      </c>
      <c r="AR7" s="31">
        <v>3.6</v>
      </c>
      <c r="AS7" s="31">
        <v>3</v>
      </c>
      <c r="AT7" s="39">
        <v>3.25</v>
      </c>
      <c r="AU7" s="1">
        <v>0</v>
      </c>
      <c r="AV7" s="1">
        <v>0</v>
      </c>
      <c r="AW7">
        <v>0</v>
      </c>
      <c r="AX7">
        <v>0</v>
      </c>
      <c r="AY7">
        <v>0</v>
      </c>
      <c r="AZ7">
        <f t="shared" si="0"/>
        <v>0</v>
      </c>
      <c r="BA7">
        <f t="shared" si="1"/>
        <v>0</v>
      </c>
      <c r="BB7">
        <v>0</v>
      </c>
      <c r="BC7">
        <v>1</v>
      </c>
      <c r="BD7" s="1">
        <v>3.2</v>
      </c>
      <c r="BE7" s="31">
        <v>3</v>
      </c>
      <c r="BF7">
        <v>3.2</v>
      </c>
      <c r="BG7">
        <v>3.2</v>
      </c>
    </row>
    <row r="8" spans="1:59" x14ac:dyDescent="0.2">
      <c r="A8" t="s">
        <v>63</v>
      </c>
      <c r="B8">
        <v>4</v>
      </c>
      <c r="C8" s="2">
        <v>1</v>
      </c>
      <c r="D8">
        <v>1</v>
      </c>
      <c r="E8">
        <v>0</v>
      </c>
      <c r="F8">
        <v>1</v>
      </c>
      <c r="G8">
        <v>1</v>
      </c>
      <c r="H8">
        <v>76</v>
      </c>
      <c r="I8">
        <v>203</v>
      </c>
      <c r="J8">
        <f t="shared" si="2"/>
        <v>24.70723684210526</v>
      </c>
      <c r="K8">
        <v>20</v>
      </c>
      <c r="L8">
        <v>1</v>
      </c>
      <c r="M8" t="s">
        <v>15</v>
      </c>
      <c r="N8">
        <v>10</v>
      </c>
      <c r="O8">
        <v>5</v>
      </c>
      <c r="P8">
        <v>0</v>
      </c>
      <c r="Q8">
        <v>0</v>
      </c>
      <c r="R8" s="2">
        <v>0</v>
      </c>
      <c r="S8">
        <v>71</v>
      </c>
      <c r="T8">
        <v>0</v>
      </c>
      <c r="U8">
        <v>0</v>
      </c>
      <c r="V8">
        <v>1</v>
      </c>
      <c r="W8">
        <v>0</v>
      </c>
      <c r="X8">
        <v>4.5999999999999996</v>
      </c>
      <c r="Y8">
        <v>4.5</v>
      </c>
      <c r="Z8" s="31">
        <v>5.0999999999999996</v>
      </c>
      <c r="AA8" s="31">
        <v>4.9000000000000004</v>
      </c>
      <c r="AB8" s="40">
        <v>4.7750000000000004</v>
      </c>
      <c r="AC8">
        <v>87</v>
      </c>
      <c r="AD8">
        <v>0</v>
      </c>
      <c r="AE8">
        <v>0</v>
      </c>
      <c r="AF8">
        <v>0</v>
      </c>
      <c r="AG8">
        <v>4.5</v>
      </c>
      <c r="AH8">
        <v>4.8</v>
      </c>
      <c r="AI8" s="31">
        <v>4.9000000000000004</v>
      </c>
      <c r="AJ8" s="31">
        <v>4.9000000000000004</v>
      </c>
      <c r="AK8" s="40">
        <v>4.7750000000000004</v>
      </c>
      <c r="AL8">
        <v>75</v>
      </c>
      <c r="AM8">
        <v>1</v>
      </c>
      <c r="AN8">
        <v>0</v>
      </c>
      <c r="AO8">
        <v>1</v>
      </c>
      <c r="AP8" s="7">
        <v>6</v>
      </c>
      <c r="AQ8" s="7">
        <v>7.2</v>
      </c>
      <c r="AR8" s="31">
        <v>6</v>
      </c>
      <c r="AS8" s="31">
        <v>7.3</v>
      </c>
      <c r="AT8" s="39">
        <v>6.625</v>
      </c>
      <c r="AU8" s="1">
        <v>0</v>
      </c>
      <c r="AV8" s="1">
        <v>0</v>
      </c>
      <c r="AW8">
        <v>0</v>
      </c>
      <c r="AX8">
        <v>1</v>
      </c>
      <c r="AY8">
        <v>0</v>
      </c>
      <c r="AZ8">
        <f t="shared" si="0"/>
        <v>-16</v>
      </c>
      <c r="BA8">
        <f t="shared" si="1"/>
        <v>-4</v>
      </c>
      <c r="BB8">
        <v>0</v>
      </c>
      <c r="BC8">
        <v>1</v>
      </c>
      <c r="BD8" s="1">
        <v>4.5999999999999996</v>
      </c>
      <c r="BE8" s="31">
        <v>5.0999999999999996</v>
      </c>
      <c r="BF8">
        <v>4.5999999999999996</v>
      </c>
      <c r="BG8">
        <v>4.5</v>
      </c>
    </row>
    <row r="9" spans="1:59" x14ac:dyDescent="0.2">
      <c r="A9" t="s">
        <v>62</v>
      </c>
      <c r="B9">
        <v>4</v>
      </c>
      <c r="C9" s="2">
        <v>1</v>
      </c>
      <c r="D9">
        <v>1</v>
      </c>
      <c r="E9">
        <v>0</v>
      </c>
      <c r="F9">
        <v>1</v>
      </c>
      <c r="G9">
        <v>1</v>
      </c>
      <c r="H9">
        <v>76</v>
      </c>
      <c r="I9">
        <v>203</v>
      </c>
      <c r="J9">
        <f t="shared" si="2"/>
        <v>24.70723684210526</v>
      </c>
      <c r="K9">
        <v>20</v>
      </c>
      <c r="L9">
        <v>1</v>
      </c>
      <c r="M9" t="s">
        <v>15</v>
      </c>
      <c r="N9">
        <v>10</v>
      </c>
      <c r="O9">
        <v>5</v>
      </c>
      <c r="P9">
        <v>1</v>
      </c>
      <c r="Q9">
        <v>0</v>
      </c>
      <c r="R9" s="2">
        <v>0</v>
      </c>
      <c r="S9">
        <v>68</v>
      </c>
      <c r="T9">
        <v>0</v>
      </c>
      <c r="U9">
        <v>0</v>
      </c>
      <c r="V9">
        <v>1</v>
      </c>
      <c r="W9">
        <v>0</v>
      </c>
      <c r="X9">
        <v>4.7</v>
      </c>
      <c r="Y9">
        <v>4.3</v>
      </c>
      <c r="Z9" s="31">
        <v>4.7</v>
      </c>
      <c r="AA9" s="31">
        <v>4.5</v>
      </c>
      <c r="AB9" s="40">
        <v>4.55</v>
      </c>
      <c r="AC9">
        <v>87</v>
      </c>
      <c r="AD9">
        <v>0</v>
      </c>
      <c r="AE9">
        <v>0</v>
      </c>
      <c r="AF9">
        <v>0</v>
      </c>
      <c r="AG9">
        <v>4.3</v>
      </c>
      <c r="AH9">
        <v>4.5</v>
      </c>
      <c r="AI9" s="31">
        <v>4.5</v>
      </c>
      <c r="AJ9" s="31">
        <v>4.8</v>
      </c>
      <c r="AK9" s="40">
        <v>4.5250000000000004</v>
      </c>
      <c r="AL9">
        <v>75</v>
      </c>
      <c r="AM9">
        <v>0</v>
      </c>
      <c r="AN9">
        <v>0</v>
      </c>
      <c r="AO9">
        <v>0</v>
      </c>
      <c r="AP9" s="7">
        <v>6.8</v>
      </c>
      <c r="AQ9">
        <v>5.7</v>
      </c>
      <c r="AR9" s="31">
        <v>6.5</v>
      </c>
      <c r="AS9" s="31">
        <v>5.3</v>
      </c>
      <c r="AT9" s="39">
        <v>6.0750000000000002</v>
      </c>
      <c r="AU9" s="1">
        <v>0</v>
      </c>
      <c r="AV9" s="1">
        <v>0</v>
      </c>
      <c r="AW9">
        <v>0</v>
      </c>
      <c r="AX9">
        <v>1</v>
      </c>
      <c r="AY9">
        <v>0</v>
      </c>
      <c r="AZ9">
        <f t="shared" si="0"/>
        <v>-19</v>
      </c>
      <c r="BA9">
        <f t="shared" si="1"/>
        <v>-7</v>
      </c>
      <c r="BB9">
        <v>0</v>
      </c>
      <c r="BC9">
        <v>0</v>
      </c>
      <c r="BD9" s="1">
        <v>4.7</v>
      </c>
      <c r="BE9" s="31">
        <v>4.7</v>
      </c>
      <c r="BF9">
        <v>4.7</v>
      </c>
      <c r="BG9">
        <v>4.3</v>
      </c>
    </row>
    <row r="10" spans="1:59" x14ac:dyDescent="0.2">
      <c r="A10" t="s">
        <v>61</v>
      </c>
      <c r="B10">
        <v>5</v>
      </c>
      <c r="C10" s="2">
        <v>1</v>
      </c>
      <c r="D10">
        <v>1</v>
      </c>
      <c r="E10">
        <v>0</v>
      </c>
      <c r="F10">
        <v>1</v>
      </c>
      <c r="G10">
        <v>1</v>
      </c>
      <c r="H10">
        <v>79</v>
      </c>
      <c r="I10">
        <v>220</v>
      </c>
      <c r="J10">
        <f t="shared" si="2"/>
        <v>24.781285050472682</v>
      </c>
      <c r="K10">
        <v>19</v>
      </c>
      <c r="L10">
        <v>2</v>
      </c>
      <c r="M10" t="s">
        <v>15</v>
      </c>
      <c r="N10">
        <v>12</v>
      </c>
      <c r="O10">
        <v>4</v>
      </c>
      <c r="P10">
        <v>1</v>
      </c>
      <c r="Q10">
        <v>0</v>
      </c>
      <c r="R10" s="2">
        <v>0</v>
      </c>
      <c r="S10">
        <v>73</v>
      </c>
      <c r="T10">
        <v>0</v>
      </c>
      <c r="U10">
        <v>0</v>
      </c>
      <c r="V10">
        <v>1</v>
      </c>
      <c r="W10">
        <v>0</v>
      </c>
      <c r="X10">
        <v>4.7</v>
      </c>
      <c r="Y10">
        <v>4.9000000000000004</v>
      </c>
      <c r="Z10" s="31">
        <v>4.7</v>
      </c>
      <c r="AA10" s="31">
        <v>4.7</v>
      </c>
      <c r="AB10" s="40">
        <v>4.75</v>
      </c>
      <c r="AC10">
        <v>65</v>
      </c>
      <c r="AD10">
        <v>1</v>
      </c>
      <c r="AE10">
        <v>0</v>
      </c>
      <c r="AF10">
        <v>0</v>
      </c>
      <c r="AG10">
        <v>4.5999999999999996</v>
      </c>
      <c r="AH10">
        <v>4.8</v>
      </c>
      <c r="AI10" s="31">
        <v>4.0999999999999996</v>
      </c>
      <c r="AJ10" s="31">
        <v>5.0999999999999996</v>
      </c>
      <c r="AK10" s="40">
        <v>4.6499999999999995</v>
      </c>
      <c r="AL10">
        <v>66</v>
      </c>
      <c r="AM10">
        <v>1</v>
      </c>
      <c r="AN10">
        <v>0</v>
      </c>
      <c r="AO10">
        <v>0</v>
      </c>
      <c r="AP10">
        <v>5</v>
      </c>
      <c r="AQ10">
        <v>4.9000000000000004</v>
      </c>
      <c r="AR10" s="31">
        <v>4.9000000000000004</v>
      </c>
      <c r="AS10" s="31">
        <v>5.0999999999999996</v>
      </c>
      <c r="AT10" s="39">
        <v>4.9749999999999996</v>
      </c>
      <c r="AU10" s="1">
        <v>0</v>
      </c>
      <c r="AV10" s="1">
        <v>0</v>
      </c>
      <c r="AW10">
        <v>0</v>
      </c>
      <c r="AX10">
        <v>1</v>
      </c>
      <c r="AY10">
        <v>1</v>
      </c>
      <c r="AZ10">
        <f t="shared" si="0"/>
        <v>8</v>
      </c>
      <c r="BA10">
        <f t="shared" si="1"/>
        <v>7</v>
      </c>
      <c r="BB10">
        <v>0</v>
      </c>
      <c r="BC10">
        <v>0</v>
      </c>
      <c r="BD10" s="1">
        <v>4.7</v>
      </c>
      <c r="BE10" s="31">
        <v>4.7</v>
      </c>
      <c r="BF10">
        <v>4.7</v>
      </c>
      <c r="BG10">
        <v>4.9000000000000004</v>
      </c>
    </row>
    <row r="11" spans="1:59" x14ac:dyDescent="0.2">
      <c r="A11" t="s">
        <v>60</v>
      </c>
      <c r="B11">
        <v>5</v>
      </c>
      <c r="C11" s="2">
        <v>1</v>
      </c>
      <c r="D11">
        <v>1</v>
      </c>
      <c r="E11">
        <v>0</v>
      </c>
      <c r="F11">
        <v>1</v>
      </c>
      <c r="G11">
        <v>1</v>
      </c>
      <c r="H11">
        <v>79</v>
      </c>
      <c r="I11">
        <v>220</v>
      </c>
      <c r="J11">
        <f t="shared" si="2"/>
        <v>24.781285050472682</v>
      </c>
      <c r="K11">
        <v>19</v>
      </c>
      <c r="L11">
        <v>2</v>
      </c>
      <c r="M11" t="s">
        <v>15</v>
      </c>
      <c r="N11">
        <v>12</v>
      </c>
      <c r="O11">
        <v>4</v>
      </c>
      <c r="P11">
        <v>0</v>
      </c>
      <c r="Q11">
        <v>0</v>
      </c>
      <c r="R11" s="2">
        <v>0</v>
      </c>
      <c r="S11">
        <v>70</v>
      </c>
      <c r="T11">
        <v>1</v>
      </c>
      <c r="U11">
        <v>0</v>
      </c>
      <c r="V11">
        <v>1</v>
      </c>
      <c r="W11">
        <v>0</v>
      </c>
      <c r="X11">
        <v>4.5999999999999996</v>
      </c>
      <c r="Y11">
        <v>4.9000000000000004</v>
      </c>
      <c r="Z11" s="31">
        <v>4.5</v>
      </c>
      <c r="AA11" s="31">
        <v>4.7</v>
      </c>
      <c r="AB11" s="40">
        <v>4.6749999999999998</v>
      </c>
      <c r="AC11">
        <v>69</v>
      </c>
      <c r="AD11">
        <v>1</v>
      </c>
      <c r="AE11">
        <v>0</v>
      </c>
      <c r="AF11">
        <v>0</v>
      </c>
      <c r="AG11">
        <v>6</v>
      </c>
      <c r="AH11">
        <v>5.8</v>
      </c>
      <c r="AI11" s="31">
        <v>6.4</v>
      </c>
      <c r="AJ11" s="31">
        <v>5.8</v>
      </c>
      <c r="AK11" s="40">
        <v>6.0000000000000009</v>
      </c>
      <c r="AL11">
        <v>61</v>
      </c>
      <c r="AM11">
        <v>1</v>
      </c>
      <c r="AN11">
        <v>0</v>
      </c>
      <c r="AO11">
        <v>0</v>
      </c>
      <c r="AP11">
        <v>5.4</v>
      </c>
      <c r="AQ11">
        <v>5.0999999999999996</v>
      </c>
      <c r="AR11" s="31">
        <v>5.8</v>
      </c>
      <c r="AS11" s="31">
        <v>5.3</v>
      </c>
      <c r="AT11" s="39">
        <v>5.4</v>
      </c>
      <c r="AU11" s="1">
        <v>0</v>
      </c>
      <c r="AV11" s="1">
        <v>0</v>
      </c>
      <c r="AW11">
        <v>0</v>
      </c>
      <c r="AX11">
        <v>1</v>
      </c>
      <c r="AY11">
        <v>1</v>
      </c>
      <c r="AZ11">
        <f t="shared" si="0"/>
        <v>1</v>
      </c>
      <c r="BA11">
        <f t="shared" si="1"/>
        <v>9</v>
      </c>
      <c r="BB11">
        <v>0</v>
      </c>
      <c r="BC11">
        <v>0</v>
      </c>
      <c r="BD11" s="1">
        <v>4.5999999999999996</v>
      </c>
      <c r="BE11" s="31">
        <v>4.5</v>
      </c>
      <c r="BF11">
        <v>4.5999999999999996</v>
      </c>
      <c r="BG11">
        <v>4.9000000000000004</v>
      </c>
    </row>
    <row r="12" spans="1:59" x14ac:dyDescent="0.2">
      <c r="A12" t="s">
        <v>59</v>
      </c>
      <c r="B12">
        <v>6</v>
      </c>
      <c r="C12" s="2">
        <v>1</v>
      </c>
      <c r="D12">
        <v>1</v>
      </c>
      <c r="E12">
        <v>1</v>
      </c>
      <c r="F12">
        <v>1</v>
      </c>
      <c r="G12">
        <v>1</v>
      </c>
      <c r="H12">
        <v>80</v>
      </c>
      <c r="I12">
        <v>218</v>
      </c>
      <c r="J12">
        <f t="shared" si="2"/>
        <v>23.945937500000003</v>
      </c>
      <c r="K12">
        <v>21</v>
      </c>
      <c r="L12">
        <v>2</v>
      </c>
      <c r="M12" t="s">
        <v>5</v>
      </c>
      <c r="N12">
        <v>6</v>
      </c>
      <c r="O12">
        <v>6</v>
      </c>
      <c r="P12">
        <v>0</v>
      </c>
      <c r="Q12">
        <v>0</v>
      </c>
      <c r="R12" s="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4.9000000000000004</v>
      </c>
      <c r="Y12">
        <v>4.5999999999999996</v>
      </c>
      <c r="Z12" s="31">
        <v>5</v>
      </c>
      <c r="AA12" s="31">
        <v>5</v>
      </c>
      <c r="AB12" s="40">
        <v>4.875</v>
      </c>
      <c r="AC12">
        <v>97</v>
      </c>
      <c r="AD12">
        <v>0</v>
      </c>
      <c r="AE12">
        <v>0</v>
      </c>
      <c r="AF12">
        <v>0</v>
      </c>
      <c r="AG12">
        <v>4.7</v>
      </c>
      <c r="AH12">
        <v>4.9000000000000004</v>
      </c>
      <c r="AI12" s="31">
        <v>4.9000000000000004</v>
      </c>
      <c r="AJ12" s="31">
        <v>5</v>
      </c>
      <c r="AK12" s="40">
        <v>4.875</v>
      </c>
      <c r="AL12">
        <v>100</v>
      </c>
      <c r="AM12">
        <v>0</v>
      </c>
      <c r="AN12">
        <v>0</v>
      </c>
      <c r="AO12">
        <v>0</v>
      </c>
      <c r="AP12">
        <v>5.7</v>
      </c>
      <c r="AQ12">
        <v>5.7</v>
      </c>
      <c r="AR12" s="31">
        <v>5.6</v>
      </c>
      <c r="AS12" s="31">
        <v>5.3</v>
      </c>
      <c r="AT12" s="39">
        <v>5.5750000000000002</v>
      </c>
      <c r="AU12" s="1">
        <v>0</v>
      </c>
      <c r="AV12" s="1">
        <v>0</v>
      </c>
      <c r="AW12">
        <v>0</v>
      </c>
      <c r="AX12">
        <v>0</v>
      </c>
      <c r="AY12">
        <v>0</v>
      </c>
      <c r="AZ12">
        <f t="shared" si="0"/>
        <v>3</v>
      </c>
      <c r="BA12">
        <f t="shared" si="1"/>
        <v>0</v>
      </c>
      <c r="BB12">
        <v>0</v>
      </c>
      <c r="BC12">
        <v>0</v>
      </c>
      <c r="BD12" s="1">
        <v>4.9000000000000004</v>
      </c>
      <c r="BE12" s="31">
        <v>5</v>
      </c>
      <c r="BF12">
        <v>4.9000000000000004</v>
      </c>
      <c r="BG12">
        <v>4.5999999999999996</v>
      </c>
    </row>
    <row r="13" spans="1:59" x14ac:dyDescent="0.2">
      <c r="A13" t="s">
        <v>58</v>
      </c>
      <c r="B13">
        <v>6</v>
      </c>
      <c r="C13" s="2">
        <v>1</v>
      </c>
      <c r="D13">
        <v>1</v>
      </c>
      <c r="E13">
        <v>1</v>
      </c>
      <c r="F13">
        <v>1</v>
      </c>
      <c r="G13">
        <v>1</v>
      </c>
      <c r="H13">
        <v>80</v>
      </c>
      <c r="I13">
        <v>218</v>
      </c>
      <c r="J13">
        <f t="shared" si="2"/>
        <v>23.945937500000003</v>
      </c>
      <c r="K13">
        <v>21</v>
      </c>
      <c r="L13">
        <v>2</v>
      </c>
      <c r="M13" t="s">
        <v>5</v>
      </c>
      <c r="N13">
        <v>6</v>
      </c>
      <c r="O13">
        <v>6</v>
      </c>
      <c r="P13">
        <v>0</v>
      </c>
      <c r="Q13">
        <v>0</v>
      </c>
      <c r="R13" s="2">
        <v>0</v>
      </c>
      <c r="S13">
        <v>98</v>
      </c>
      <c r="T13">
        <v>0</v>
      </c>
      <c r="U13">
        <v>0</v>
      </c>
      <c r="V13">
        <v>0</v>
      </c>
      <c r="W13">
        <v>0</v>
      </c>
      <c r="X13">
        <v>5.5</v>
      </c>
      <c r="Y13">
        <v>4.5</v>
      </c>
      <c r="Z13" s="31">
        <v>5.5</v>
      </c>
      <c r="AA13" s="31">
        <v>4.3</v>
      </c>
      <c r="AB13" s="40">
        <v>4.95</v>
      </c>
      <c r="AC13">
        <v>97</v>
      </c>
      <c r="AD13">
        <v>0</v>
      </c>
      <c r="AE13">
        <v>0</v>
      </c>
      <c r="AF13">
        <v>0</v>
      </c>
      <c r="AG13">
        <v>5.2</v>
      </c>
      <c r="AH13">
        <v>5.4</v>
      </c>
      <c r="AI13" s="31">
        <v>5.4</v>
      </c>
      <c r="AJ13" s="31">
        <v>5.7</v>
      </c>
      <c r="AK13" s="40">
        <v>5.4249999999999998</v>
      </c>
      <c r="AL13">
        <v>100</v>
      </c>
      <c r="AM13">
        <v>0</v>
      </c>
      <c r="AN13">
        <v>0</v>
      </c>
      <c r="AO13">
        <v>0</v>
      </c>
      <c r="AP13">
        <v>5.2</v>
      </c>
      <c r="AQ13">
        <v>5</v>
      </c>
      <c r="AR13" s="31">
        <v>5.0999999999999996</v>
      </c>
      <c r="AS13" s="31">
        <v>5.0999999999999996</v>
      </c>
      <c r="AT13" s="39">
        <v>5.0999999999999996</v>
      </c>
      <c r="AU13" s="1">
        <v>0</v>
      </c>
      <c r="AV13" s="1">
        <v>0</v>
      </c>
      <c r="AW13">
        <v>0</v>
      </c>
      <c r="AX13">
        <v>0</v>
      </c>
      <c r="AY13">
        <v>0</v>
      </c>
      <c r="AZ13">
        <f t="shared" si="0"/>
        <v>1</v>
      </c>
      <c r="BA13">
        <f t="shared" si="1"/>
        <v>-2</v>
      </c>
      <c r="BB13">
        <v>0</v>
      </c>
      <c r="BC13">
        <v>0</v>
      </c>
      <c r="BD13" s="1">
        <v>5.5</v>
      </c>
      <c r="BE13" s="31">
        <v>5.5</v>
      </c>
      <c r="BF13">
        <v>5.5</v>
      </c>
      <c r="BG13">
        <v>4.5</v>
      </c>
    </row>
    <row r="14" spans="1:59" x14ac:dyDescent="0.2">
      <c r="A14" t="s">
        <v>57</v>
      </c>
      <c r="B14">
        <v>7</v>
      </c>
      <c r="C14" s="2">
        <v>1</v>
      </c>
      <c r="D14">
        <v>1</v>
      </c>
      <c r="E14">
        <v>1</v>
      </c>
      <c r="F14">
        <v>1</v>
      </c>
      <c r="G14">
        <v>1</v>
      </c>
      <c r="H14">
        <v>77</v>
      </c>
      <c r="I14">
        <v>180</v>
      </c>
      <c r="J14">
        <f t="shared" si="2"/>
        <v>21.342553550345759</v>
      </c>
      <c r="K14">
        <v>20</v>
      </c>
      <c r="L14">
        <v>1</v>
      </c>
      <c r="M14" t="s">
        <v>5</v>
      </c>
      <c r="N14">
        <v>16</v>
      </c>
      <c r="O14">
        <v>6</v>
      </c>
      <c r="P14">
        <v>0</v>
      </c>
      <c r="Q14">
        <v>0</v>
      </c>
      <c r="R14" s="2">
        <v>0</v>
      </c>
      <c r="S14">
        <v>90</v>
      </c>
      <c r="T14">
        <v>0</v>
      </c>
      <c r="U14">
        <v>0</v>
      </c>
      <c r="V14">
        <v>0</v>
      </c>
      <c r="W14">
        <v>0</v>
      </c>
      <c r="X14">
        <v>6.3</v>
      </c>
      <c r="Y14">
        <v>6.4</v>
      </c>
      <c r="Z14" s="31">
        <v>6.6</v>
      </c>
      <c r="AA14" s="31">
        <v>6.4</v>
      </c>
      <c r="AB14" s="40">
        <v>6.4249999999999989</v>
      </c>
      <c r="AC14">
        <v>100</v>
      </c>
      <c r="AD14">
        <v>0</v>
      </c>
      <c r="AE14">
        <v>0</v>
      </c>
      <c r="AF14">
        <v>1</v>
      </c>
      <c r="AG14" s="4">
        <v>6.9</v>
      </c>
      <c r="AH14" s="4">
        <v>6.6</v>
      </c>
      <c r="AI14" s="31">
        <v>6.7</v>
      </c>
      <c r="AJ14" s="31">
        <v>7</v>
      </c>
      <c r="AK14" s="40">
        <v>6.8</v>
      </c>
      <c r="AL14">
        <v>94</v>
      </c>
      <c r="AM14">
        <v>0</v>
      </c>
      <c r="AN14">
        <v>0</v>
      </c>
      <c r="AO14">
        <v>1</v>
      </c>
      <c r="AP14" s="4">
        <v>5.8</v>
      </c>
      <c r="AQ14" s="4">
        <v>6.1</v>
      </c>
      <c r="AR14" s="31">
        <v>6.2</v>
      </c>
      <c r="AS14" s="31">
        <v>6.5</v>
      </c>
      <c r="AT14" s="39">
        <v>6.1499999999999995</v>
      </c>
      <c r="AU14" s="1">
        <v>0</v>
      </c>
      <c r="AV14" s="1">
        <v>0</v>
      </c>
      <c r="AW14">
        <v>0</v>
      </c>
      <c r="AX14">
        <v>0</v>
      </c>
      <c r="AY14">
        <v>0</v>
      </c>
      <c r="AZ14">
        <f t="shared" si="0"/>
        <v>-10</v>
      </c>
      <c r="BA14">
        <f t="shared" si="1"/>
        <v>-4</v>
      </c>
      <c r="BB14">
        <v>0</v>
      </c>
      <c r="BC14">
        <v>1</v>
      </c>
      <c r="BD14" s="1">
        <v>6.3</v>
      </c>
      <c r="BE14" s="31">
        <v>6.6</v>
      </c>
      <c r="BF14">
        <v>6.3</v>
      </c>
      <c r="BG14">
        <v>6.4</v>
      </c>
    </row>
    <row r="15" spans="1:59" x14ac:dyDescent="0.2">
      <c r="A15" t="s">
        <v>56</v>
      </c>
      <c r="B15">
        <v>7</v>
      </c>
      <c r="C15" s="2">
        <v>1</v>
      </c>
      <c r="D15">
        <v>1</v>
      </c>
      <c r="E15">
        <v>1</v>
      </c>
      <c r="F15">
        <v>1</v>
      </c>
      <c r="G15">
        <v>1</v>
      </c>
      <c r="H15">
        <v>77</v>
      </c>
      <c r="I15">
        <v>180</v>
      </c>
      <c r="J15">
        <f t="shared" si="2"/>
        <v>21.342553550345759</v>
      </c>
      <c r="K15">
        <v>20</v>
      </c>
      <c r="L15">
        <v>1</v>
      </c>
      <c r="M15" t="s">
        <v>5</v>
      </c>
      <c r="N15">
        <v>16</v>
      </c>
      <c r="O15">
        <v>6</v>
      </c>
      <c r="P15">
        <v>0</v>
      </c>
      <c r="Q15">
        <v>0</v>
      </c>
      <c r="R15" s="2">
        <v>0</v>
      </c>
      <c r="S15">
        <v>91</v>
      </c>
      <c r="T15">
        <v>0</v>
      </c>
      <c r="U15">
        <v>0</v>
      </c>
      <c r="V15">
        <v>0</v>
      </c>
      <c r="W15">
        <v>0</v>
      </c>
      <c r="X15">
        <v>3.7</v>
      </c>
      <c r="Y15">
        <v>3.5</v>
      </c>
      <c r="Z15" s="31">
        <v>4.0999999999999996</v>
      </c>
      <c r="AA15" s="31">
        <v>3.4</v>
      </c>
      <c r="AB15" s="40">
        <v>3.6750000000000003</v>
      </c>
      <c r="AC15">
        <v>72</v>
      </c>
      <c r="AD15">
        <v>0</v>
      </c>
      <c r="AE15">
        <v>1</v>
      </c>
      <c r="AF15">
        <v>0</v>
      </c>
      <c r="AG15">
        <v>3.8</v>
      </c>
      <c r="AH15">
        <v>3.7</v>
      </c>
      <c r="AI15" s="31">
        <v>3.7</v>
      </c>
      <c r="AJ15" s="31">
        <v>3.7</v>
      </c>
      <c r="AK15" s="40">
        <v>3.7249999999999996</v>
      </c>
      <c r="AL15">
        <v>100</v>
      </c>
      <c r="AM15">
        <v>0</v>
      </c>
      <c r="AN15">
        <v>0</v>
      </c>
      <c r="AO15">
        <v>0</v>
      </c>
      <c r="AP15">
        <v>5</v>
      </c>
      <c r="AQ15">
        <v>4.4000000000000004</v>
      </c>
      <c r="AR15" s="31">
        <v>4.8</v>
      </c>
      <c r="AS15" s="31">
        <v>4.5</v>
      </c>
      <c r="AT15" s="39">
        <v>4.6749999999999998</v>
      </c>
      <c r="AU15" s="1">
        <v>0</v>
      </c>
      <c r="AV15" s="1">
        <v>0</v>
      </c>
      <c r="AW15">
        <v>0</v>
      </c>
      <c r="AX15">
        <v>1</v>
      </c>
      <c r="AY15">
        <v>0</v>
      </c>
      <c r="AZ15">
        <f t="shared" si="0"/>
        <v>19</v>
      </c>
      <c r="BA15">
        <f t="shared" si="1"/>
        <v>-9</v>
      </c>
      <c r="BB15">
        <v>1</v>
      </c>
      <c r="BC15">
        <v>0</v>
      </c>
      <c r="BD15" s="1">
        <v>3.7</v>
      </c>
      <c r="BE15" s="31">
        <v>4.0999999999999996</v>
      </c>
      <c r="BF15">
        <v>3.7</v>
      </c>
      <c r="BG15">
        <v>3.5</v>
      </c>
    </row>
    <row r="16" spans="1:59" x14ac:dyDescent="0.2">
      <c r="A16" t="s">
        <v>55</v>
      </c>
      <c r="B16">
        <v>8</v>
      </c>
      <c r="C16" s="2">
        <v>1</v>
      </c>
      <c r="D16">
        <v>1</v>
      </c>
      <c r="E16">
        <v>1</v>
      </c>
      <c r="F16">
        <v>1</v>
      </c>
      <c r="G16">
        <v>1</v>
      </c>
      <c r="H16">
        <v>78</v>
      </c>
      <c r="I16">
        <v>200</v>
      </c>
      <c r="J16">
        <f t="shared" si="2"/>
        <v>23.109796186719262</v>
      </c>
      <c r="K16">
        <v>20</v>
      </c>
      <c r="L16">
        <v>2</v>
      </c>
      <c r="M16" t="s">
        <v>15</v>
      </c>
      <c r="N16">
        <v>8</v>
      </c>
      <c r="O16">
        <v>4</v>
      </c>
      <c r="P16">
        <v>0</v>
      </c>
      <c r="Q16">
        <v>1</v>
      </c>
      <c r="R16" s="2">
        <v>0</v>
      </c>
      <c r="S16">
        <v>83</v>
      </c>
      <c r="T16">
        <v>0</v>
      </c>
      <c r="U16">
        <v>0</v>
      </c>
      <c r="V16">
        <v>0</v>
      </c>
      <c r="W16">
        <v>0</v>
      </c>
      <c r="X16">
        <v>3.7</v>
      </c>
      <c r="Y16">
        <v>3.6</v>
      </c>
      <c r="Z16" s="31">
        <v>3.7</v>
      </c>
      <c r="AA16" s="31">
        <v>3.7</v>
      </c>
      <c r="AB16" s="40">
        <v>3.6749999999999998</v>
      </c>
      <c r="AC16">
        <v>86</v>
      </c>
      <c r="AD16">
        <v>0</v>
      </c>
      <c r="AE16">
        <v>0</v>
      </c>
      <c r="AF16">
        <v>0</v>
      </c>
      <c r="AG16">
        <v>4.0999999999999996</v>
      </c>
      <c r="AH16">
        <v>4</v>
      </c>
      <c r="AI16" s="31">
        <v>4.2</v>
      </c>
      <c r="AJ16" s="31">
        <v>4.3</v>
      </c>
      <c r="AK16" s="40">
        <v>4.1500000000000004</v>
      </c>
      <c r="AL16">
        <v>100</v>
      </c>
      <c r="AM16">
        <v>0</v>
      </c>
      <c r="AN16">
        <v>0</v>
      </c>
      <c r="AO16">
        <v>0</v>
      </c>
      <c r="AP16">
        <v>4.2</v>
      </c>
      <c r="AQ16">
        <v>4.0999999999999996</v>
      </c>
      <c r="AR16" s="31">
        <v>4.2</v>
      </c>
      <c r="AS16" s="31">
        <v>4.4000000000000004</v>
      </c>
      <c r="AT16" s="39">
        <v>4.2249999999999996</v>
      </c>
      <c r="AU16" s="1">
        <v>0</v>
      </c>
      <c r="AV16" s="1">
        <v>0</v>
      </c>
      <c r="AW16">
        <v>0</v>
      </c>
      <c r="AX16">
        <v>0</v>
      </c>
      <c r="AY16">
        <v>0</v>
      </c>
      <c r="AZ16">
        <f t="shared" si="0"/>
        <v>-3</v>
      </c>
      <c r="BA16">
        <f t="shared" si="1"/>
        <v>-17</v>
      </c>
      <c r="BB16">
        <v>0</v>
      </c>
      <c r="BC16">
        <v>0</v>
      </c>
      <c r="BD16" s="1">
        <v>3.7</v>
      </c>
      <c r="BE16" s="31">
        <v>3.7</v>
      </c>
      <c r="BF16">
        <v>3.7</v>
      </c>
      <c r="BG16">
        <v>3.6</v>
      </c>
    </row>
    <row r="17" spans="1:59" x14ac:dyDescent="0.2">
      <c r="A17" t="s">
        <v>54</v>
      </c>
      <c r="B17">
        <v>8</v>
      </c>
      <c r="C17" s="2">
        <v>1</v>
      </c>
      <c r="D17">
        <v>1</v>
      </c>
      <c r="E17">
        <v>0</v>
      </c>
      <c r="F17">
        <v>0</v>
      </c>
      <c r="G17">
        <v>1</v>
      </c>
      <c r="H17">
        <v>78</v>
      </c>
      <c r="I17">
        <v>200</v>
      </c>
      <c r="J17">
        <f t="shared" si="2"/>
        <v>23.109796186719262</v>
      </c>
      <c r="K17">
        <v>20</v>
      </c>
      <c r="L17">
        <v>2</v>
      </c>
      <c r="M17" t="s">
        <v>15</v>
      </c>
      <c r="N17">
        <v>8</v>
      </c>
      <c r="O17">
        <v>4</v>
      </c>
      <c r="P17">
        <v>0</v>
      </c>
      <c r="Q17">
        <v>0</v>
      </c>
      <c r="R17" s="2">
        <v>0</v>
      </c>
      <c r="S17">
        <v>76</v>
      </c>
      <c r="T17">
        <v>0</v>
      </c>
      <c r="U17">
        <v>0</v>
      </c>
      <c r="V17">
        <v>1</v>
      </c>
      <c r="W17">
        <v>1</v>
      </c>
      <c r="X17" s="7">
        <v>5.0999999999999996</v>
      </c>
      <c r="Y17" s="7">
        <v>4.8</v>
      </c>
      <c r="Z17" s="31">
        <v>5.2</v>
      </c>
      <c r="AA17" s="31">
        <v>4.8</v>
      </c>
      <c r="AB17" s="40">
        <v>4.9749999999999996</v>
      </c>
      <c r="AC17">
        <v>75</v>
      </c>
      <c r="AD17">
        <v>0</v>
      </c>
      <c r="AE17">
        <v>0</v>
      </c>
      <c r="AF17">
        <v>0</v>
      </c>
      <c r="AG17">
        <v>4.3</v>
      </c>
      <c r="AH17">
        <v>4.8</v>
      </c>
      <c r="AI17" s="31">
        <v>4.4000000000000004</v>
      </c>
      <c r="AJ17" s="31">
        <v>4.7</v>
      </c>
      <c r="AK17" s="40">
        <v>4.55</v>
      </c>
      <c r="AL17">
        <v>80</v>
      </c>
      <c r="AM17">
        <v>0</v>
      </c>
      <c r="AN17">
        <v>0</v>
      </c>
      <c r="AO17">
        <v>1</v>
      </c>
      <c r="AP17" s="4">
        <v>9.1</v>
      </c>
      <c r="AQ17" s="4">
        <v>8.5</v>
      </c>
      <c r="AR17" s="31">
        <v>9</v>
      </c>
      <c r="AS17" s="31">
        <v>9.1</v>
      </c>
      <c r="AT17" s="39">
        <v>8.9250000000000007</v>
      </c>
      <c r="AU17" s="1">
        <v>0</v>
      </c>
      <c r="AV17" s="1">
        <v>0</v>
      </c>
      <c r="AW17">
        <v>0</v>
      </c>
      <c r="AX17">
        <v>1</v>
      </c>
      <c r="AY17">
        <v>0</v>
      </c>
      <c r="AZ17">
        <f t="shared" si="0"/>
        <v>1</v>
      </c>
      <c r="BA17">
        <f t="shared" si="1"/>
        <v>-4</v>
      </c>
      <c r="BB17">
        <v>0</v>
      </c>
      <c r="BC17">
        <v>1</v>
      </c>
      <c r="BD17" s="35">
        <v>5.0999999999999996</v>
      </c>
      <c r="BE17" s="31">
        <v>5.2</v>
      </c>
      <c r="BF17" s="7">
        <v>5.0999999999999996</v>
      </c>
      <c r="BG17" s="7">
        <v>4.8</v>
      </c>
    </row>
    <row r="18" spans="1:59" x14ac:dyDescent="0.2">
      <c r="A18" t="s">
        <v>53</v>
      </c>
      <c r="B18">
        <v>9</v>
      </c>
      <c r="C18" s="2">
        <v>1</v>
      </c>
      <c r="D18">
        <v>1</v>
      </c>
      <c r="E18">
        <v>1</v>
      </c>
      <c r="F18">
        <v>1</v>
      </c>
      <c r="G18">
        <v>1</v>
      </c>
      <c r="H18">
        <v>78</v>
      </c>
      <c r="I18">
        <v>200</v>
      </c>
      <c r="J18">
        <f t="shared" si="2"/>
        <v>23.109796186719262</v>
      </c>
      <c r="K18">
        <v>21</v>
      </c>
      <c r="L18">
        <v>1</v>
      </c>
      <c r="M18" t="s">
        <v>15</v>
      </c>
      <c r="N18">
        <v>16</v>
      </c>
      <c r="O18">
        <v>3</v>
      </c>
      <c r="P18">
        <v>0</v>
      </c>
      <c r="Q18">
        <v>0</v>
      </c>
      <c r="R18" s="2">
        <v>1</v>
      </c>
      <c r="S18">
        <v>80</v>
      </c>
      <c r="T18">
        <v>0</v>
      </c>
      <c r="U18">
        <v>1</v>
      </c>
      <c r="V18">
        <v>0</v>
      </c>
      <c r="W18">
        <v>0</v>
      </c>
      <c r="X18">
        <v>3.4</v>
      </c>
      <c r="Y18">
        <v>3.4</v>
      </c>
      <c r="Z18" s="31">
        <v>3.5</v>
      </c>
      <c r="AA18" s="31">
        <v>3.5</v>
      </c>
      <c r="AB18" s="40">
        <v>3.45</v>
      </c>
      <c r="AC18">
        <v>97</v>
      </c>
      <c r="AD18">
        <v>0</v>
      </c>
      <c r="AE18">
        <v>0</v>
      </c>
      <c r="AF18">
        <v>0</v>
      </c>
      <c r="AG18">
        <v>3.6</v>
      </c>
      <c r="AH18">
        <v>3.6</v>
      </c>
      <c r="AI18" s="31">
        <v>3.4</v>
      </c>
      <c r="AJ18" s="31">
        <v>3.6</v>
      </c>
      <c r="AK18" s="40">
        <v>3.55</v>
      </c>
      <c r="AL18">
        <v>100</v>
      </c>
      <c r="AM18">
        <v>0</v>
      </c>
      <c r="AN18">
        <v>0</v>
      </c>
      <c r="AO18">
        <v>0</v>
      </c>
      <c r="AP18">
        <v>4.7</v>
      </c>
      <c r="AQ18">
        <v>4.3</v>
      </c>
      <c r="AR18" s="31">
        <v>4.7</v>
      </c>
      <c r="AS18" s="31">
        <v>4.8</v>
      </c>
      <c r="AT18" s="39">
        <v>4.625</v>
      </c>
      <c r="AU18" s="1">
        <v>0</v>
      </c>
      <c r="AV18" s="1">
        <v>0</v>
      </c>
      <c r="AW18">
        <v>0</v>
      </c>
      <c r="AX18">
        <v>0</v>
      </c>
      <c r="AY18">
        <v>0</v>
      </c>
      <c r="AZ18">
        <f t="shared" si="0"/>
        <v>-17</v>
      </c>
      <c r="BA18">
        <f t="shared" si="1"/>
        <v>-20</v>
      </c>
      <c r="BB18">
        <v>0</v>
      </c>
      <c r="BC18">
        <v>0</v>
      </c>
      <c r="BD18" s="1">
        <v>3.4</v>
      </c>
      <c r="BE18" s="31">
        <v>3.5</v>
      </c>
      <c r="BF18">
        <v>3.4</v>
      </c>
      <c r="BG18">
        <v>3.4</v>
      </c>
    </row>
    <row r="19" spans="1:59" x14ac:dyDescent="0.2">
      <c r="A19" t="s">
        <v>52</v>
      </c>
      <c r="B19">
        <v>9</v>
      </c>
      <c r="C19" s="2">
        <v>1</v>
      </c>
      <c r="D19">
        <v>1</v>
      </c>
      <c r="E19">
        <v>1</v>
      </c>
      <c r="F19">
        <v>0</v>
      </c>
      <c r="G19">
        <v>1</v>
      </c>
      <c r="H19">
        <v>78</v>
      </c>
      <c r="I19">
        <v>200</v>
      </c>
      <c r="J19">
        <f t="shared" si="2"/>
        <v>23.109796186719262</v>
      </c>
      <c r="K19">
        <v>21</v>
      </c>
      <c r="L19">
        <v>1</v>
      </c>
      <c r="M19" t="s">
        <v>15</v>
      </c>
      <c r="N19">
        <v>16</v>
      </c>
      <c r="O19">
        <v>3</v>
      </c>
      <c r="P19">
        <v>0</v>
      </c>
      <c r="Q19">
        <v>0</v>
      </c>
      <c r="R19" s="2">
        <v>1</v>
      </c>
      <c r="S19">
        <v>99</v>
      </c>
      <c r="T19">
        <v>0</v>
      </c>
      <c r="U19">
        <v>0</v>
      </c>
      <c r="V19">
        <v>0</v>
      </c>
      <c r="W19">
        <v>1</v>
      </c>
      <c r="X19">
        <v>5</v>
      </c>
      <c r="Y19">
        <v>4.5</v>
      </c>
      <c r="Z19" s="31">
        <v>5.5</v>
      </c>
      <c r="AA19" s="31">
        <v>5.4</v>
      </c>
      <c r="AB19" s="40">
        <v>5.0999999999999996</v>
      </c>
      <c r="AC19">
        <v>97</v>
      </c>
      <c r="AD19">
        <v>0</v>
      </c>
      <c r="AE19">
        <v>0</v>
      </c>
      <c r="AF19">
        <v>0</v>
      </c>
      <c r="AG19">
        <v>4.2</v>
      </c>
      <c r="AH19">
        <v>3.8</v>
      </c>
      <c r="AI19" s="31">
        <v>4.2</v>
      </c>
      <c r="AJ19" s="31">
        <v>4</v>
      </c>
      <c r="AK19" s="40">
        <v>4.05</v>
      </c>
      <c r="AL19">
        <v>100</v>
      </c>
      <c r="AM19">
        <v>0</v>
      </c>
      <c r="AN19">
        <v>0</v>
      </c>
      <c r="AO19">
        <v>0</v>
      </c>
      <c r="AP19">
        <v>3.5</v>
      </c>
      <c r="AQ19">
        <v>3.7</v>
      </c>
      <c r="AR19" s="31">
        <v>3.7</v>
      </c>
      <c r="AS19" s="31">
        <v>3.7</v>
      </c>
      <c r="AT19" s="39">
        <v>3.6500000000000004</v>
      </c>
      <c r="AU19" s="1">
        <v>0</v>
      </c>
      <c r="AV19" s="1">
        <v>0</v>
      </c>
      <c r="AW19">
        <v>0</v>
      </c>
      <c r="AX19">
        <v>0</v>
      </c>
      <c r="AY19">
        <v>0</v>
      </c>
      <c r="AZ19">
        <f t="shared" si="0"/>
        <v>2</v>
      </c>
      <c r="BA19">
        <f t="shared" si="1"/>
        <v>-1</v>
      </c>
      <c r="BB19">
        <v>0</v>
      </c>
      <c r="BC19">
        <v>0</v>
      </c>
      <c r="BD19" s="1">
        <v>5</v>
      </c>
      <c r="BE19" s="31">
        <v>5.5</v>
      </c>
      <c r="BF19">
        <v>5</v>
      </c>
      <c r="BG19">
        <v>4.5</v>
      </c>
    </row>
    <row r="20" spans="1:59" x14ac:dyDescent="0.2">
      <c r="A20" s="5" t="s">
        <v>51</v>
      </c>
      <c r="B20" s="5">
        <v>10</v>
      </c>
      <c r="C20" s="2">
        <v>1</v>
      </c>
      <c r="D20">
        <v>0</v>
      </c>
      <c r="E20">
        <v>0</v>
      </c>
      <c r="F20">
        <v>0</v>
      </c>
      <c r="G20">
        <v>1</v>
      </c>
      <c r="H20">
        <v>73</v>
      </c>
      <c r="I20">
        <v>179</v>
      </c>
      <c r="J20">
        <f t="shared" si="2"/>
        <v>23.613623569149933</v>
      </c>
      <c r="K20">
        <v>21</v>
      </c>
      <c r="L20">
        <v>1</v>
      </c>
      <c r="M20" t="s">
        <v>5</v>
      </c>
      <c r="N20">
        <v>14</v>
      </c>
      <c r="O20">
        <v>7</v>
      </c>
      <c r="P20">
        <v>1</v>
      </c>
      <c r="Q20" s="5">
        <v>1</v>
      </c>
      <c r="R20" s="2">
        <v>0</v>
      </c>
      <c r="S20">
        <v>69</v>
      </c>
      <c r="T20">
        <v>1</v>
      </c>
      <c r="U20">
        <v>0</v>
      </c>
      <c r="V20">
        <v>1</v>
      </c>
      <c r="W20">
        <v>1</v>
      </c>
      <c r="X20" s="5">
        <v>8.1999999999999993</v>
      </c>
      <c r="Y20" s="5">
        <v>8.5</v>
      </c>
      <c r="Z20" s="31">
        <v>8.3000000000000007</v>
      </c>
      <c r="AA20" s="31">
        <v>9</v>
      </c>
      <c r="AB20" s="40">
        <v>8.5</v>
      </c>
      <c r="AC20">
        <v>59</v>
      </c>
      <c r="AD20">
        <v>1</v>
      </c>
      <c r="AE20">
        <v>0</v>
      </c>
      <c r="AF20">
        <v>1</v>
      </c>
      <c r="AG20" s="5">
        <v>8.1</v>
      </c>
      <c r="AH20" s="5">
        <v>8.1</v>
      </c>
      <c r="AI20" s="31">
        <v>9.6999999999999993</v>
      </c>
      <c r="AJ20" s="31">
        <v>10.4</v>
      </c>
      <c r="AK20" s="40">
        <v>9.0749999999999993</v>
      </c>
      <c r="AL20">
        <v>69</v>
      </c>
      <c r="AM20">
        <v>1</v>
      </c>
      <c r="AN20">
        <v>0</v>
      </c>
      <c r="AO20">
        <v>1</v>
      </c>
      <c r="AP20" s="5">
        <v>8.8000000000000007</v>
      </c>
      <c r="AQ20" s="5">
        <v>8.8000000000000007</v>
      </c>
      <c r="AR20" s="31">
        <v>10.7</v>
      </c>
      <c r="AS20" s="31">
        <v>9.6</v>
      </c>
      <c r="AT20" s="39">
        <v>9.4749999999999996</v>
      </c>
      <c r="AU20" s="1">
        <v>1</v>
      </c>
      <c r="AV20" s="1">
        <v>0</v>
      </c>
      <c r="AW20">
        <v>0</v>
      </c>
      <c r="AX20">
        <v>1</v>
      </c>
      <c r="AY20">
        <v>1</v>
      </c>
      <c r="AZ20" s="5">
        <f t="shared" si="0"/>
        <v>10</v>
      </c>
      <c r="BA20" s="5">
        <f t="shared" si="1"/>
        <v>0</v>
      </c>
      <c r="BB20">
        <v>0</v>
      </c>
      <c r="BD20" s="1">
        <v>5.7</v>
      </c>
      <c r="BE20" s="31">
        <v>5.8</v>
      </c>
      <c r="BF20">
        <v>5.7</v>
      </c>
      <c r="BG20">
        <v>5.4</v>
      </c>
    </row>
    <row r="21" spans="1:59" x14ac:dyDescent="0.2">
      <c r="A21" s="5" t="s">
        <v>50</v>
      </c>
      <c r="B21" s="5">
        <v>10</v>
      </c>
      <c r="C21" s="2">
        <v>1</v>
      </c>
      <c r="D21">
        <v>0</v>
      </c>
      <c r="E21">
        <v>0</v>
      </c>
      <c r="F21">
        <v>0</v>
      </c>
      <c r="G21">
        <v>1</v>
      </c>
      <c r="H21">
        <v>73</v>
      </c>
      <c r="I21">
        <v>179</v>
      </c>
      <c r="J21">
        <f t="shared" si="2"/>
        <v>23.613623569149933</v>
      </c>
      <c r="K21">
        <v>21</v>
      </c>
      <c r="L21">
        <v>1</v>
      </c>
      <c r="M21" t="s">
        <v>5</v>
      </c>
      <c r="N21">
        <v>14</v>
      </c>
      <c r="O21">
        <v>7</v>
      </c>
      <c r="P21">
        <v>1</v>
      </c>
      <c r="Q21" s="5">
        <v>1</v>
      </c>
      <c r="R21" s="2">
        <v>0</v>
      </c>
      <c r="S21">
        <v>96</v>
      </c>
      <c r="T21">
        <v>0</v>
      </c>
      <c r="U21">
        <v>0</v>
      </c>
      <c r="V21">
        <v>0</v>
      </c>
      <c r="W21">
        <v>1</v>
      </c>
      <c r="X21" s="5">
        <v>6.6</v>
      </c>
      <c r="Y21" s="5">
        <v>6.7</v>
      </c>
      <c r="Z21" s="31">
        <v>7</v>
      </c>
      <c r="AA21" s="31">
        <v>7.6</v>
      </c>
      <c r="AB21" s="40">
        <v>6.9749999999999996</v>
      </c>
      <c r="AC21">
        <v>49</v>
      </c>
      <c r="AD21">
        <v>1</v>
      </c>
      <c r="AE21">
        <v>0</v>
      </c>
      <c r="AF21">
        <v>1</v>
      </c>
      <c r="AG21" s="5">
        <v>7.4</v>
      </c>
      <c r="AH21" s="5">
        <v>7.3</v>
      </c>
      <c r="AI21" s="31">
        <v>7.7</v>
      </c>
      <c r="AJ21" s="31">
        <v>8.1999999999999993</v>
      </c>
      <c r="AK21" s="40">
        <v>7.6499999999999995</v>
      </c>
      <c r="AL21">
        <v>69</v>
      </c>
      <c r="AM21">
        <v>1</v>
      </c>
      <c r="AN21">
        <v>0</v>
      </c>
      <c r="AO21">
        <v>1</v>
      </c>
      <c r="AP21" s="5">
        <v>9.3000000000000007</v>
      </c>
      <c r="AQ21" s="5">
        <v>8.3000000000000007</v>
      </c>
      <c r="AR21" s="31">
        <v>9.5</v>
      </c>
      <c r="AS21" s="31">
        <v>8.9</v>
      </c>
      <c r="AT21" s="39">
        <v>9</v>
      </c>
      <c r="AU21" s="1">
        <v>1</v>
      </c>
      <c r="AV21" s="1">
        <v>0</v>
      </c>
      <c r="AW21">
        <v>0</v>
      </c>
      <c r="AX21">
        <v>1</v>
      </c>
      <c r="AY21">
        <v>1</v>
      </c>
      <c r="AZ21" s="5">
        <f t="shared" si="0"/>
        <v>47</v>
      </c>
      <c r="BA21" s="5">
        <f t="shared" si="1"/>
        <v>27</v>
      </c>
      <c r="BB21">
        <v>1</v>
      </c>
      <c r="BD21" s="1">
        <v>9.1</v>
      </c>
      <c r="BE21" s="31">
        <v>9.6</v>
      </c>
      <c r="BF21">
        <v>9.1</v>
      </c>
      <c r="BG21">
        <v>9</v>
      </c>
    </row>
    <row r="22" spans="1:59" x14ac:dyDescent="0.2">
      <c r="A22" t="s">
        <v>49</v>
      </c>
      <c r="B22">
        <v>11</v>
      </c>
      <c r="C22" s="2">
        <v>1</v>
      </c>
      <c r="D22">
        <v>1</v>
      </c>
      <c r="E22">
        <v>1</v>
      </c>
      <c r="F22">
        <v>1</v>
      </c>
      <c r="G22">
        <v>1</v>
      </c>
      <c r="H22">
        <v>73</v>
      </c>
      <c r="I22">
        <v>168</v>
      </c>
      <c r="J22">
        <f t="shared" si="2"/>
        <v>22.16250703696754</v>
      </c>
      <c r="K22">
        <v>20</v>
      </c>
      <c r="L22">
        <v>1</v>
      </c>
      <c r="M22" t="s">
        <v>0</v>
      </c>
      <c r="N22">
        <v>12</v>
      </c>
      <c r="O22">
        <v>11</v>
      </c>
      <c r="P22">
        <v>0</v>
      </c>
      <c r="Q22">
        <v>0</v>
      </c>
      <c r="R22" s="2">
        <v>1</v>
      </c>
      <c r="S22">
        <v>99</v>
      </c>
      <c r="T22">
        <v>0</v>
      </c>
      <c r="U22">
        <v>1</v>
      </c>
      <c r="V22">
        <v>0</v>
      </c>
      <c r="W22">
        <v>0</v>
      </c>
      <c r="X22">
        <v>5.7</v>
      </c>
      <c r="Y22">
        <v>5.4</v>
      </c>
      <c r="Z22" s="31">
        <v>5.8</v>
      </c>
      <c r="AA22" s="31">
        <v>5.3</v>
      </c>
      <c r="AB22" s="40">
        <v>5.5500000000000007</v>
      </c>
      <c r="AC22">
        <v>100</v>
      </c>
      <c r="AD22">
        <v>0</v>
      </c>
      <c r="AE22">
        <v>0</v>
      </c>
      <c r="AF22">
        <v>0</v>
      </c>
      <c r="AG22">
        <v>5</v>
      </c>
      <c r="AH22">
        <v>4.9000000000000004</v>
      </c>
      <c r="AI22" s="31">
        <v>4.7</v>
      </c>
      <c r="AJ22" s="31">
        <v>5.0999999999999996</v>
      </c>
      <c r="AK22" s="40">
        <v>4.9250000000000007</v>
      </c>
      <c r="AL22">
        <v>80</v>
      </c>
      <c r="AM22">
        <v>0</v>
      </c>
      <c r="AN22">
        <v>0</v>
      </c>
      <c r="AO22">
        <v>1</v>
      </c>
      <c r="AP22">
        <v>6.8</v>
      </c>
      <c r="AQ22">
        <v>6.3</v>
      </c>
      <c r="AR22" s="31">
        <v>7.1</v>
      </c>
      <c r="AS22" s="31">
        <v>6.3</v>
      </c>
      <c r="AT22" s="39">
        <v>6.625</v>
      </c>
      <c r="AU22" s="1">
        <v>0</v>
      </c>
      <c r="AV22" s="1">
        <v>0</v>
      </c>
      <c r="AW22">
        <v>0</v>
      </c>
      <c r="AX22">
        <v>0</v>
      </c>
      <c r="AY22">
        <v>0</v>
      </c>
      <c r="AZ22">
        <f t="shared" si="0"/>
        <v>-1</v>
      </c>
      <c r="BA22">
        <f t="shared" si="1"/>
        <v>19</v>
      </c>
      <c r="BB22">
        <v>1</v>
      </c>
      <c r="BC22">
        <v>1</v>
      </c>
      <c r="BD22" s="1">
        <v>3.7</v>
      </c>
      <c r="BE22" s="31">
        <v>3.7</v>
      </c>
      <c r="BF22">
        <v>3.7</v>
      </c>
      <c r="BG22">
        <v>3.4</v>
      </c>
    </row>
    <row r="23" spans="1:59" x14ac:dyDescent="0.2">
      <c r="A23" t="s">
        <v>48</v>
      </c>
      <c r="B23">
        <v>11</v>
      </c>
      <c r="C23" s="2">
        <v>1</v>
      </c>
      <c r="D23">
        <v>1</v>
      </c>
      <c r="E23">
        <v>1</v>
      </c>
      <c r="F23">
        <v>1</v>
      </c>
      <c r="G23">
        <v>1</v>
      </c>
      <c r="H23">
        <v>73</v>
      </c>
      <c r="I23">
        <v>168</v>
      </c>
      <c r="J23">
        <f t="shared" si="2"/>
        <v>22.16250703696754</v>
      </c>
      <c r="K23">
        <v>20</v>
      </c>
      <c r="L23">
        <v>1</v>
      </c>
      <c r="M23" t="s">
        <v>0</v>
      </c>
      <c r="N23">
        <v>12</v>
      </c>
      <c r="O23">
        <v>11</v>
      </c>
      <c r="P23">
        <v>0</v>
      </c>
      <c r="Q23">
        <v>0</v>
      </c>
      <c r="R23" s="2">
        <v>1</v>
      </c>
      <c r="S23">
        <v>100</v>
      </c>
      <c r="T23">
        <v>0</v>
      </c>
      <c r="U23">
        <v>0</v>
      </c>
      <c r="V23">
        <v>0</v>
      </c>
      <c r="W23">
        <v>0</v>
      </c>
      <c r="X23">
        <v>9.1</v>
      </c>
      <c r="Y23">
        <v>9</v>
      </c>
      <c r="Z23" s="31">
        <v>9.6</v>
      </c>
      <c r="AA23" s="31">
        <v>8.3000000000000007</v>
      </c>
      <c r="AB23" s="40">
        <v>9</v>
      </c>
      <c r="AC23">
        <v>100</v>
      </c>
      <c r="AD23">
        <v>0</v>
      </c>
      <c r="AE23">
        <v>1</v>
      </c>
      <c r="AF23">
        <v>0</v>
      </c>
      <c r="AG23">
        <v>6.2</v>
      </c>
      <c r="AH23">
        <v>6.4</v>
      </c>
      <c r="AI23" s="31">
        <v>5.7</v>
      </c>
      <c r="AJ23" s="31">
        <v>5.6</v>
      </c>
      <c r="AK23" s="40">
        <v>5.9749999999999996</v>
      </c>
      <c r="AL23">
        <v>99</v>
      </c>
      <c r="AM23">
        <v>0</v>
      </c>
      <c r="AN23">
        <v>0</v>
      </c>
      <c r="AO23">
        <v>1</v>
      </c>
      <c r="AP23" s="4">
        <v>6.2</v>
      </c>
      <c r="AQ23" s="4">
        <v>7</v>
      </c>
      <c r="AR23" s="31">
        <v>7.1</v>
      </c>
      <c r="AS23" s="31">
        <v>8</v>
      </c>
      <c r="AT23" s="39">
        <v>7.0749999999999993</v>
      </c>
      <c r="AU23" s="1">
        <v>1</v>
      </c>
      <c r="AV23" s="1">
        <v>0</v>
      </c>
      <c r="AW23">
        <v>0</v>
      </c>
      <c r="AX23">
        <v>0</v>
      </c>
      <c r="AY23">
        <v>0</v>
      </c>
      <c r="AZ23">
        <f t="shared" si="0"/>
        <v>0</v>
      </c>
      <c r="BA23">
        <f t="shared" si="1"/>
        <v>1</v>
      </c>
      <c r="BB23">
        <v>0</v>
      </c>
      <c r="BC23">
        <v>1</v>
      </c>
      <c r="BD23" s="1">
        <v>3.5</v>
      </c>
      <c r="BE23" s="31">
        <v>3.8</v>
      </c>
      <c r="BF23">
        <v>3.5</v>
      </c>
      <c r="BG23">
        <v>3.9</v>
      </c>
    </row>
    <row r="24" spans="1:59" x14ac:dyDescent="0.2">
      <c r="A24" t="s">
        <v>47</v>
      </c>
      <c r="B24">
        <v>12</v>
      </c>
      <c r="C24" s="2">
        <v>1</v>
      </c>
      <c r="D24">
        <v>1</v>
      </c>
      <c r="E24">
        <v>1</v>
      </c>
      <c r="F24">
        <v>1</v>
      </c>
      <c r="G24">
        <v>1</v>
      </c>
      <c r="H24">
        <v>80</v>
      </c>
      <c r="I24">
        <v>220</v>
      </c>
      <c r="J24">
        <f t="shared" si="2"/>
        <v>24.165625000000002</v>
      </c>
      <c r="K24">
        <v>19</v>
      </c>
      <c r="L24">
        <v>2</v>
      </c>
      <c r="M24" t="s">
        <v>0</v>
      </c>
      <c r="N24">
        <v>12</v>
      </c>
      <c r="O24">
        <v>4</v>
      </c>
      <c r="P24">
        <v>0</v>
      </c>
      <c r="Q24">
        <v>0</v>
      </c>
      <c r="R24" s="2">
        <v>0</v>
      </c>
      <c r="S24">
        <v>100</v>
      </c>
      <c r="T24">
        <v>0</v>
      </c>
      <c r="U24">
        <v>0</v>
      </c>
      <c r="V24">
        <v>0</v>
      </c>
      <c r="W24">
        <v>0</v>
      </c>
      <c r="X24">
        <v>3.7</v>
      </c>
      <c r="Y24">
        <v>3.4</v>
      </c>
      <c r="Z24" s="31">
        <v>3.7</v>
      </c>
      <c r="AA24" s="31">
        <v>3.6</v>
      </c>
      <c r="AB24" s="40">
        <v>3.6</v>
      </c>
      <c r="AC24">
        <v>93</v>
      </c>
      <c r="AD24">
        <v>0</v>
      </c>
      <c r="AE24">
        <v>0</v>
      </c>
      <c r="AF24">
        <v>0</v>
      </c>
      <c r="AG24">
        <v>3.4</v>
      </c>
      <c r="AH24">
        <v>3.8</v>
      </c>
      <c r="AI24" s="31">
        <v>3.3</v>
      </c>
      <c r="AJ24" s="31">
        <v>3.9</v>
      </c>
      <c r="AK24" s="40">
        <v>3.6</v>
      </c>
      <c r="AL24">
        <v>98</v>
      </c>
      <c r="AM24">
        <v>0</v>
      </c>
      <c r="AN24">
        <v>0</v>
      </c>
      <c r="AO24">
        <v>0</v>
      </c>
      <c r="AP24">
        <v>3.8</v>
      </c>
      <c r="AQ24">
        <v>3.5</v>
      </c>
      <c r="AR24" s="31">
        <v>3.6</v>
      </c>
      <c r="AS24" s="31">
        <v>3.4</v>
      </c>
      <c r="AT24" s="39">
        <v>3.5750000000000002</v>
      </c>
      <c r="AU24" s="1">
        <v>0</v>
      </c>
      <c r="AV24" s="1">
        <v>0</v>
      </c>
      <c r="AW24">
        <v>0</v>
      </c>
      <c r="AX24">
        <v>0</v>
      </c>
      <c r="AY24">
        <v>0</v>
      </c>
      <c r="AZ24">
        <f t="shared" si="0"/>
        <v>7</v>
      </c>
      <c r="BA24">
        <f t="shared" si="1"/>
        <v>2</v>
      </c>
      <c r="BB24">
        <v>0</v>
      </c>
      <c r="BC24">
        <v>0</v>
      </c>
      <c r="BD24" s="1">
        <v>4.7</v>
      </c>
      <c r="BE24" s="31">
        <v>4.7</v>
      </c>
      <c r="BF24">
        <v>4.7</v>
      </c>
      <c r="BG24">
        <v>4.9000000000000004</v>
      </c>
    </row>
    <row r="25" spans="1:59" x14ac:dyDescent="0.2">
      <c r="A25" t="s">
        <v>46</v>
      </c>
      <c r="B25">
        <v>12</v>
      </c>
      <c r="C25" s="2">
        <v>1</v>
      </c>
      <c r="D25">
        <v>1</v>
      </c>
      <c r="E25">
        <v>1</v>
      </c>
      <c r="F25">
        <v>1</v>
      </c>
      <c r="G25">
        <v>1</v>
      </c>
      <c r="H25">
        <v>80</v>
      </c>
      <c r="I25">
        <v>220</v>
      </c>
      <c r="J25">
        <f t="shared" si="2"/>
        <v>24.165625000000002</v>
      </c>
      <c r="K25">
        <v>19</v>
      </c>
      <c r="L25">
        <v>2</v>
      </c>
      <c r="M25" t="s">
        <v>0</v>
      </c>
      <c r="N25">
        <v>12</v>
      </c>
      <c r="O25">
        <v>4</v>
      </c>
      <c r="P25">
        <v>0</v>
      </c>
      <c r="Q25">
        <v>0</v>
      </c>
      <c r="R25" s="2">
        <v>0</v>
      </c>
      <c r="S25">
        <v>100</v>
      </c>
      <c r="T25">
        <v>0</v>
      </c>
      <c r="U25">
        <v>0</v>
      </c>
      <c r="V25">
        <v>0</v>
      </c>
      <c r="W25">
        <v>0</v>
      </c>
      <c r="X25">
        <v>3.5</v>
      </c>
      <c r="Y25">
        <v>3.9</v>
      </c>
      <c r="Z25" s="31">
        <v>3.8</v>
      </c>
      <c r="AA25" s="31">
        <v>4.2</v>
      </c>
      <c r="AB25" s="40">
        <v>3.8499999999999996</v>
      </c>
      <c r="AC25">
        <v>100</v>
      </c>
      <c r="AD25">
        <v>0</v>
      </c>
      <c r="AE25">
        <v>0</v>
      </c>
      <c r="AF25">
        <v>0</v>
      </c>
      <c r="AG25">
        <v>3.9</v>
      </c>
      <c r="AH25">
        <v>4.4000000000000004</v>
      </c>
      <c r="AI25" s="31">
        <v>3.8</v>
      </c>
      <c r="AJ25" s="31">
        <v>4.8</v>
      </c>
      <c r="AK25" s="40">
        <v>4.2250000000000005</v>
      </c>
      <c r="AL25">
        <v>98</v>
      </c>
      <c r="AM25">
        <v>0</v>
      </c>
      <c r="AN25">
        <v>0</v>
      </c>
      <c r="AO25">
        <v>0</v>
      </c>
      <c r="AP25">
        <v>4.5999999999999996</v>
      </c>
      <c r="AQ25">
        <v>4.5</v>
      </c>
      <c r="AR25" s="31">
        <v>5.0999999999999996</v>
      </c>
      <c r="AS25" s="31">
        <v>4.7</v>
      </c>
      <c r="AT25" s="39">
        <v>4.7249999999999996</v>
      </c>
      <c r="AU25" s="1">
        <v>0</v>
      </c>
      <c r="AV25" s="1">
        <v>0</v>
      </c>
      <c r="AW25">
        <v>0</v>
      </c>
      <c r="AX25">
        <v>0</v>
      </c>
      <c r="AY25">
        <v>0</v>
      </c>
      <c r="AZ25">
        <f t="shared" si="0"/>
        <v>0</v>
      </c>
      <c r="BA25">
        <f t="shared" si="1"/>
        <v>2</v>
      </c>
      <c r="BB25">
        <v>0</v>
      </c>
      <c r="BC25">
        <v>0</v>
      </c>
      <c r="BD25" s="1">
        <v>3.9</v>
      </c>
      <c r="BE25" s="31">
        <v>3.8</v>
      </c>
      <c r="BF25">
        <v>3.9</v>
      </c>
      <c r="BG25">
        <v>4.3</v>
      </c>
    </row>
    <row r="26" spans="1:59" x14ac:dyDescent="0.2">
      <c r="A26" t="s">
        <v>45</v>
      </c>
      <c r="B26">
        <v>13</v>
      </c>
      <c r="C26" s="2">
        <v>1</v>
      </c>
      <c r="D26">
        <v>1</v>
      </c>
      <c r="E26">
        <v>1</v>
      </c>
      <c r="F26">
        <v>1</v>
      </c>
      <c r="G26">
        <v>1</v>
      </c>
      <c r="H26">
        <v>78</v>
      </c>
      <c r="I26">
        <v>245</v>
      </c>
      <c r="J26">
        <f t="shared" si="2"/>
        <v>28.309500328731101</v>
      </c>
      <c r="K26">
        <v>21</v>
      </c>
      <c r="L26">
        <v>2</v>
      </c>
      <c r="M26" t="s">
        <v>12</v>
      </c>
      <c r="N26">
        <v>13</v>
      </c>
      <c r="O26">
        <v>6</v>
      </c>
      <c r="P26">
        <v>0</v>
      </c>
      <c r="Q26">
        <v>0</v>
      </c>
      <c r="R26" s="2">
        <v>1</v>
      </c>
      <c r="S26">
        <v>96</v>
      </c>
      <c r="T26">
        <v>0</v>
      </c>
      <c r="U26">
        <v>0</v>
      </c>
      <c r="V26">
        <v>0</v>
      </c>
      <c r="W26">
        <v>0</v>
      </c>
      <c r="X26">
        <v>4.7</v>
      </c>
      <c r="Y26">
        <v>4.9000000000000004</v>
      </c>
      <c r="Z26" s="31">
        <v>4.7</v>
      </c>
      <c r="AA26" s="31">
        <v>4.9000000000000004</v>
      </c>
      <c r="AB26" s="40">
        <v>4.8000000000000007</v>
      </c>
      <c r="AC26">
        <v>70</v>
      </c>
      <c r="AD26">
        <v>0</v>
      </c>
      <c r="AE26">
        <v>0</v>
      </c>
      <c r="AF26">
        <v>1</v>
      </c>
      <c r="AG26" s="4">
        <v>6.9</v>
      </c>
      <c r="AH26" s="4">
        <v>6.7</v>
      </c>
      <c r="AI26" s="31">
        <v>7.3</v>
      </c>
      <c r="AJ26" s="31">
        <v>6.8</v>
      </c>
      <c r="AK26" s="40">
        <v>6.9250000000000007</v>
      </c>
      <c r="AL26">
        <v>98</v>
      </c>
      <c r="AM26">
        <v>0</v>
      </c>
      <c r="AN26">
        <v>0</v>
      </c>
      <c r="AO26">
        <v>1</v>
      </c>
      <c r="AP26" s="7">
        <v>5.3</v>
      </c>
      <c r="AQ26" s="7">
        <v>5.6</v>
      </c>
      <c r="AR26">
        <v>5.6</v>
      </c>
      <c r="AS26">
        <v>5.6</v>
      </c>
      <c r="AT26" s="39">
        <v>5.5250000000000004</v>
      </c>
      <c r="AU26" s="1">
        <v>0</v>
      </c>
      <c r="AV26" s="1">
        <v>0</v>
      </c>
      <c r="AW26">
        <v>0</v>
      </c>
      <c r="AX26">
        <v>1</v>
      </c>
      <c r="AY26">
        <v>0</v>
      </c>
      <c r="AZ26">
        <f t="shared" si="0"/>
        <v>26</v>
      </c>
      <c r="BA26">
        <f t="shared" si="1"/>
        <v>-2</v>
      </c>
      <c r="BB26">
        <v>1</v>
      </c>
      <c r="BC26">
        <v>1</v>
      </c>
      <c r="BD26" s="35">
        <v>9.1</v>
      </c>
      <c r="BE26" s="31">
        <v>8.3000000000000007</v>
      </c>
      <c r="BF26" s="7">
        <v>9.1</v>
      </c>
      <c r="BG26" s="7">
        <v>8.6</v>
      </c>
    </row>
    <row r="27" spans="1:59" x14ac:dyDescent="0.2">
      <c r="A27" t="s">
        <v>44</v>
      </c>
      <c r="B27">
        <v>13</v>
      </c>
      <c r="C27" s="2">
        <v>1</v>
      </c>
      <c r="D27">
        <v>1</v>
      </c>
      <c r="E27">
        <v>0</v>
      </c>
      <c r="F27">
        <v>1</v>
      </c>
      <c r="G27">
        <v>1</v>
      </c>
      <c r="H27">
        <v>78</v>
      </c>
      <c r="I27">
        <v>245</v>
      </c>
      <c r="J27">
        <f t="shared" si="2"/>
        <v>28.309500328731101</v>
      </c>
      <c r="K27">
        <v>21</v>
      </c>
      <c r="L27">
        <v>2</v>
      </c>
      <c r="M27" t="s">
        <v>12</v>
      </c>
      <c r="N27">
        <v>13</v>
      </c>
      <c r="O27">
        <v>6</v>
      </c>
      <c r="P27">
        <v>1</v>
      </c>
      <c r="Q27">
        <v>0</v>
      </c>
      <c r="R27" s="2">
        <v>1</v>
      </c>
      <c r="S27">
        <v>66</v>
      </c>
      <c r="T27">
        <v>0</v>
      </c>
      <c r="U27">
        <v>0</v>
      </c>
      <c r="V27">
        <v>1</v>
      </c>
      <c r="W27">
        <v>0</v>
      </c>
      <c r="X27">
        <v>3.9</v>
      </c>
      <c r="Y27">
        <v>4.3</v>
      </c>
      <c r="Z27" s="31">
        <v>3.8</v>
      </c>
      <c r="AA27" s="31">
        <v>4.5</v>
      </c>
      <c r="AB27" s="40">
        <v>4.125</v>
      </c>
      <c r="AC27">
        <v>62</v>
      </c>
      <c r="AD27">
        <v>0</v>
      </c>
      <c r="AE27">
        <v>0</v>
      </c>
      <c r="AF27">
        <v>0</v>
      </c>
      <c r="AG27">
        <v>5.3</v>
      </c>
      <c r="AH27">
        <v>4.8</v>
      </c>
      <c r="AI27" s="31">
        <v>5.3</v>
      </c>
      <c r="AJ27" s="31">
        <v>5.0999999999999996</v>
      </c>
      <c r="AK27" s="40">
        <v>5.125</v>
      </c>
      <c r="AL27">
        <v>94</v>
      </c>
      <c r="AM27">
        <v>0</v>
      </c>
      <c r="AN27">
        <v>0</v>
      </c>
      <c r="AO27">
        <v>1</v>
      </c>
      <c r="AP27" s="7">
        <v>6.4</v>
      </c>
      <c r="AQ27" s="7">
        <v>6.1</v>
      </c>
      <c r="AR27">
        <v>6.5</v>
      </c>
      <c r="AS27">
        <v>6.2</v>
      </c>
      <c r="AT27" s="39">
        <v>6.3</v>
      </c>
      <c r="AU27" s="1">
        <v>0</v>
      </c>
      <c r="AV27" s="1">
        <v>0</v>
      </c>
      <c r="AW27">
        <v>0</v>
      </c>
      <c r="AX27">
        <v>1</v>
      </c>
      <c r="AY27">
        <v>1</v>
      </c>
      <c r="AZ27">
        <f t="shared" si="0"/>
        <v>4</v>
      </c>
      <c r="BA27">
        <f t="shared" si="1"/>
        <v>-28</v>
      </c>
      <c r="BB27">
        <v>0</v>
      </c>
      <c r="BC27">
        <v>1</v>
      </c>
      <c r="BD27" s="1">
        <v>5.6</v>
      </c>
      <c r="BE27" s="31">
        <v>5.6</v>
      </c>
      <c r="BF27">
        <v>5.6</v>
      </c>
      <c r="BG27" s="7">
        <v>6.1</v>
      </c>
    </row>
    <row r="28" spans="1:59" x14ac:dyDescent="0.2">
      <c r="A28" t="s">
        <v>43</v>
      </c>
      <c r="B28">
        <v>14</v>
      </c>
      <c r="C28" s="2">
        <v>1</v>
      </c>
      <c r="D28">
        <v>1</v>
      </c>
      <c r="E28">
        <v>0</v>
      </c>
      <c r="F28">
        <v>0</v>
      </c>
      <c r="G28">
        <v>1</v>
      </c>
      <c r="H28">
        <v>80</v>
      </c>
      <c r="I28">
        <v>245</v>
      </c>
      <c r="J28">
        <f t="shared" si="2"/>
        <v>26.911718750000002</v>
      </c>
      <c r="K28">
        <v>22</v>
      </c>
      <c r="L28">
        <v>2</v>
      </c>
      <c r="M28" t="s">
        <v>5</v>
      </c>
      <c r="N28">
        <v>18</v>
      </c>
      <c r="O28">
        <v>8</v>
      </c>
      <c r="P28">
        <v>1</v>
      </c>
      <c r="Q28">
        <v>0</v>
      </c>
      <c r="R28" s="2">
        <v>1</v>
      </c>
      <c r="S28">
        <v>68</v>
      </c>
      <c r="T28">
        <v>1</v>
      </c>
      <c r="U28">
        <v>0</v>
      </c>
      <c r="V28">
        <v>1</v>
      </c>
      <c r="W28">
        <v>1</v>
      </c>
      <c r="X28" s="7">
        <v>9.1</v>
      </c>
      <c r="Y28" s="7">
        <v>8.6</v>
      </c>
      <c r="Z28" s="31">
        <v>8.3000000000000007</v>
      </c>
      <c r="AA28" s="31">
        <v>8.5</v>
      </c>
      <c r="AB28" s="40">
        <v>8.625</v>
      </c>
      <c r="AC28">
        <v>53</v>
      </c>
      <c r="AD28">
        <v>1</v>
      </c>
      <c r="AE28">
        <v>0</v>
      </c>
      <c r="AF28">
        <v>1</v>
      </c>
      <c r="AG28" s="7">
        <v>8.3000000000000007</v>
      </c>
      <c r="AH28" s="7">
        <v>8.4</v>
      </c>
      <c r="AI28" s="31">
        <v>7.9</v>
      </c>
      <c r="AJ28" s="31">
        <v>8.4</v>
      </c>
      <c r="AK28" s="40">
        <v>8.25</v>
      </c>
      <c r="AL28">
        <v>61</v>
      </c>
      <c r="AM28">
        <v>1</v>
      </c>
      <c r="AN28">
        <v>0</v>
      </c>
      <c r="AO28">
        <v>1</v>
      </c>
      <c r="AP28" s="4">
        <v>9.4</v>
      </c>
      <c r="AQ28" s="4">
        <v>9.1</v>
      </c>
      <c r="AR28" s="31">
        <v>10.3</v>
      </c>
      <c r="AS28" s="31">
        <v>9.4</v>
      </c>
      <c r="AT28" s="39">
        <v>9.5500000000000007</v>
      </c>
      <c r="AU28" s="1">
        <v>1</v>
      </c>
      <c r="AV28" s="1">
        <v>0</v>
      </c>
      <c r="AW28">
        <v>0</v>
      </c>
      <c r="AX28">
        <v>1</v>
      </c>
      <c r="AY28">
        <v>1</v>
      </c>
      <c r="AZ28">
        <f t="shared" si="0"/>
        <v>15</v>
      </c>
      <c r="BA28">
        <f t="shared" si="1"/>
        <v>7</v>
      </c>
      <c r="BB28">
        <v>1</v>
      </c>
      <c r="BC28">
        <v>1</v>
      </c>
      <c r="BD28" s="1">
        <v>3.5</v>
      </c>
      <c r="BE28" s="31">
        <v>3.6</v>
      </c>
      <c r="BF28">
        <v>3.5</v>
      </c>
      <c r="BG28">
        <v>4.0999999999999996</v>
      </c>
    </row>
    <row r="29" spans="1:59" x14ac:dyDescent="0.2">
      <c r="A29" t="s">
        <v>42</v>
      </c>
      <c r="B29">
        <v>14</v>
      </c>
      <c r="C29" s="2">
        <v>1</v>
      </c>
      <c r="D29">
        <v>1</v>
      </c>
      <c r="E29">
        <v>0</v>
      </c>
      <c r="F29">
        <v>0</v>
      </c>
      <c r="G29">
        <v>1</v>
      </c>
      <c r="H29">
        <v>80</v>
      </c>
      <c r="I29">
        <v>245</v>
      </c>
      <c r="J29">
        <f t="shared" si="2"/>
        <v>26.911718750000002</v>
      </c>
      <c r="K29">
        <v>22</v>
      </c>
      <c r="L29">
        <v>2</v>
      </c>
      <c r="M29" t="s">
        <v>5</v>
      </c>
      <c r="N29">
        <v>18</v>
      </c>
      <c r="O29">
        <v>8</v>
      </c>
      <c r="P29">
        <v>0</v>
      </c>
      <c r="Q29">
        <v>0</v>
      </c>
      <c r="R29" s="2">
        <v>1</v>
      </c>
      <c r="S29">
        <v>68</v>
      </c>
      <c r="T29">
        <v>0</v>
      </c>
      <c r="U29">
        <v>0</v>
      </c>
      <c r="V29">
        <v>1</v>
      </c>
      <c r="W29">
        <v>1</v>
      </c>
      <c r="X29">
        <v>5.6</v>
      </c>
      <c r="Y29" s="7">
        <v>6.1</v>
      </c>
      <c r="Z29" s="31">
        <v>5.6</v>
      </c>
      <c r="AA29" s="31">
        <v>6</v>
      </c>
      <c r="AB29" s="40">
        <v>5.8249999999999993</v>
      </c>
      <c r="AC29">
        <v>53</v>
      </c>
      <c r="AD29">
        <v>1</v>
      </c>
      <c r="AE29">
        <v>0</v>
      </c>
      <c r="AF29">
        <v>1</v>
      </c>
      <c r="AG29" s="4">
        <v>7.4</v>
      </c>
      <c r="AH29" s="4">
        <v>7.3</v>
      </c>
      <c r="AI29" s="31">
        <v>7.4</v>
      </c>
      <c r="AJ29" s="31">
        <v>7.4</v>
      </c>
      <c r="AK29" s="40">
        <v>7.375</v>
      </c>
      <c r="AL29">
        <v>61</v>
      </c>
      <c r="AM29">
        <v>1</v>
      </c>
      <c r="AN29">
        <v>0</v>
      </c>
      <c r="AO29">
        <v>1</v>
      </c>
      <c r="AP29" s="4">
        <v>6.4</v>
      </c>
      <c r="AQ29" s="4">
        <v>6.2</v>
      </c>
      <c r="AR29" s="31">
        <v>7</v>
      </c>
      <c r="AS29" s="31">
        <v>6.4</v>
      </c>
      <c r="AT29" s="39">
        <v>6.5</v>
      </c>
      <c r="AU29" s="1">
        <v>1</v>
      </c>
      <c r="AV29" s="1">
        <v>0</v>
      </c>
      <c r="AW29">
        <v>0</v>
      </c>
      <c r="AX29">
        <v>1</v>
      </c>
      <c r="AY29">
        <v>1</v>
      </c>
      <c r="AZ29">
        <f t="shared" si="0"/>
        <v>15</v>
      </c>
      <c r="BA29">
        <f t="shared" si="1"/>
        <v>7</v>
      </c>
      <c r="BB29">
        <v>1</v>
      </c>
      <c r="BC29">
        <v>1</v>
      </c>
      <c r="BD29" s="1">
        <v>3.7</v>
      </c>
      <c r="BE29" s="31">
        <v>3.8</v>
      </c>
      <c r="BF29">
        <v>3.7</v>
      </c>
      <c r="BG29">
        <v>3.6</v>
      </c>
    </row>
    <row r="30" spans="1:59" x14ac:dyDescent="0.2">
      <c r="A30" t="s">
        <v>41</v>
      </c>
      <c r="B30">
        <v>15</v>
      </c>
      <c r="C30" s="2">
        <v>1</v>
      </c>
      <c r="D30">
        <v>0</v>
      </c>
      <c r="E30">
        <v>0</v>
      </c>
      <c r="F30">
        <v>1</v>
      </c>
      <c r="G30">
        <v>1</v>
      </c>
      <c r="H30">
        <v>75</v>
      </c>
      <c r="I30">
        <v>175</v>
      </c>
      <c r="J30">
        <f t="shared" si="2"/>
        <v>21.871111111111109</v>
      </c>
      <c r="K30">
        <v>22</v>
      </c>
      <c r="L30">
        <v>1</v>
      </c>
      <c r="M30" t="s">
        <v>12</v>
      </c>
      <c r="N30">
        <v>11</v>
      </c>
      <c r="O30">
        <v>10</v>
      </c>
      <c r="P30">
        <v>0</v>
      </c>
      <c r="Q30">
        <v>0</v>
      </c>
      <c r="R30" s="2">
        <v>0</v>
      </c>
      <c r="S30">
        <v>78</v>
      </c>
      <c r="T30">
        <v>1</v>
      </c>
      <c r="U30">
        <v>0</v>
      </c>
      <c r="V30">
        <v>1</v>
      </c>
      <c r="W30">
        <v>0</v>
      </c>
      <c r="X30">
        <v>3.5</v>
      </c>
      <c r="Y30">
        <v>4.0999999999999996</v>
      </c>
      <c r="Z30" s="31">
        <v>3.6</v>
      </c>
      <c r="AA30" s="31">
        <v>4.3</v>
      </c>
      <c r="AB30" s="40">
        <v>3.875</v>
      </c>
      <c r="AC30">
        <v>72</v>
      </c>
      <c r="AD30">
        <v>1</v>
      </c>
      <c r="AE30">
        <v>0</v>
      </c>
      <c r="AF30">
        <v>0</v>
      </c>
      <c r="AG30">
        <v>3.9</v>
      </c>
      <c r="AH30">
        <v>3.9</v>
      </c>
      <c r="AI30" s="31">
        <v>4.4000000000000004</v>
      </c>
      <c r="AJ30" s="31">
        <v>4</v>
      </c>
      <c r="AK30" s="40">
        <v>4.05</v>
      </c>
      <c r="AL30" s="3"/>
      <c r="AM30" s="3"/>
      <c r="AN30" s="3"/>
      <c r="AO30" s="3"/>
      <c r="AP30" s="3"/>
      <c r="AQ30" s="3"/>
      <c r="AR30" s="33"/>
      <c r="AS30" s="33"/>
      <c r="AT30" s="39" t="e">
        <v>#DIV/0!</v>
      </c>
      <c r="AU30" s="1">
        <v>0</v>
      </c>
      <c r="AV30" s="1">
        <v>0</v>
      </c>
      <c r="AW30">
        <v>0</v>
      </c>
      <c r="AX30">
        <v>1</v>
      </c>
      <c r="AY30">
        <v>0</v>
      </c>
      <c r="AZ30" s="3">
        <f t="shared" si="0"/>
        <v>6</v>
      </c>
      <c r="BA30" s="3">
        <f t="shared" si="1"/>
        <v>78</v>
      </c>
      <c r="BD30" s="35">
        <v>4.3</v>
      </c>
      <c r="BE30" s="31">
        <v>4.3</v>
      </c>
      <c r="BF30" s="7">
        <v>4.3</v>
      </c>
      <c r="BG30" s="7">
        <v>4.5</v>
      </c>
    </row>
    <row r="31" spans="1:59" x14ac:dyDescent="0.2">
      <c r="A31" t="s">
        <v>40</v>
      </c>
      <c r="B31">
        <v>15</v>
      </c>
      <c r="C31" s="2">
        <v>1</v>
      </c>
      <c r="D31">
        <v>0</v>
      </c>
      <c r="E31">
        <v>0</v>
      </c>
      <c r="F31">
        <v>1</v>
      </c>
      <c r="G31">
        <v>1</v>
      </c>
      <c r="H31">
        <v>75</v>
      </c>
      <c r="I31">
        <v>175</v>
      </c>
      <c r="J31">
        <f t="shared" si="2"/>
        <v>21.871111111111109</v>
      </c>
      <c r="K31">
        <v>22</v>
      </c>
      <c r="L31">
        <v>1</v>
      </c>
      <c r="M31" t="s">
        <v>12</v>
      </c>
      <c r="N31">
        <v>11</v>
      </c>
      <c r="O31">
        <v>10</v>
      </c>
      <c r="P31">
        <v>0</v>
      </c>
      <c r="Q31">
        <v>0</v>
      </c>
      <c r="R31" s="2">
        <v>0</v>
      </c>
      <c r="S31">
        <v>78</v>
      </c>
      <c r="T31">
        <v>0</v>
      </c>
      <c r="U31">
        <v>0</v>
      </c>
      <c r="V31">
        <v>1</v>
      </c>
      <c r="W31">
        <v>0</v>
      </c>
      <c r="X31">
        <v>3.7</v>
      </c>
      <c r="Y31">
        <v>3.6</v>
      </c>
      <c r="Z31" s="31">
        <v>3.8</v>
      </c>
      <c r="AA31" s="31">
        <v>3.8</v>
      </c>
      <c r="AB31" s="40">
        <v>3.7250000000000005</v>
      </c>
      <c r="AC31">
        <v>54</v>
      </c>
      <c r="AD31">
        <v>1</v>
      </c>
      <c r="AE31">
        <v>0</v>
      </c>
      <c r="AF31">
        <v>0</v>
      </c>
      <c r="AG31">
        <v>4.4000000000000004</v>
      </c>
      <c r="AH31">
        <v>4.2</v>
      </c>
      <c r="AI31" s="31">
        <v>4.4000000000000004</v>
      </c>
      <c r="AJ31" s="31">
        <v>4.5</v>
      </c>
      <c r="AK31" s="40">
        <v>4.375</v>
      </c>
      <c r="AL31" s="3"/>
      <c r="AM31" s="3"/>
      <c r="AN31" s="3"/>
      <c r="AO31" s="3"/>
      <c r="AP31" s="3"/>
      <c r="AQ31" s="3"/>
      <c r="AR31" s="33"/>
      <c r="AS31" s="33"/>
      <c r="AT31" s="39" t="e">
        <v>#DIV/0!</v>
      </c>
      <c r="AU31" s="1">
        <v>0</v>
      </c>
      <c r="AV31" s="1">
        <v>0</v>
      </c>
      <c r="AW31">
        <v>0</v>
      </c>
      <c r="AX31">
        <v>1</v>
      </c>
      <c r="AY31">
        <v>1</v>
      </c>
      <c r="AZ31" s="3">
        <f t="shared" si="0"/>
        <v>24</v>
      </c>
      <c r="BA31" s="3">
        <f t="shared" si="1"/>
        <v>78</v>
      </c>
      <c r="BD31" s="35">
        <v>4.4000000000000004</v>
      </c>
      <c r="BE31" s="31">
        <v>4.4000000000000004</v>
      </c>
      <c r="BF31" s="7">
        <v>4.4000000000000004</v>
      </c>
      <c r="BG31" s="7">
        <v>4.8</v>
      </c>
    </row>
    <row r="32" spans="1:59" x14ac:dyDescent="0.2">
      <c r="A32" t="s">
        <v>39</v>
      </c>
      <c r="B32">
        <v>16</v>
      </c>
      <c r="C32" s="2">
        <v>1</v>
      </c>
      <c r="D32">
        <v>1</v>
      </c>
      <c r="E32">
        <v>1</v>
      </c>
      <c r="F32">
        <v>0</v>
      </c>
      <c r="G32">
        <v>1</v>
      </c>
      <c r="H32">
        <v>81</v>
      </c>
      <c r="I32">
        <v>240</v>
      </c>
      <c r="J32">
        <f t="shared" si="2"/>
        <v>25.715592135345226</v>
      </c>
      <c r="K32">
        <v>19</v>
      </c>
      <c r="L32">
        <v>2</v>
      </c>
      <c r="M32" t="s">
        <v>0</v>
      </c>
      <c r="N32">
        <v>12</v>
      </c>
      <c r="O32">
        <v>12</v>
      </c>
      <c r="P32">
        <v>1</v>
      </c>
      <c r="Q32">
        <v>0</v>
      </c>
      <c r="R32" s="2">
        <v>1</v>
      </c>
      <c r="S32">
        <v>86</v>
      </c>
      <c r="T32">
        <v>0</v>
      </c>
      <c r="U32">
        <v>0</v>
      </c>
      <c r="V32">
        <v>0</v>
      </c>
      <c r="W32">
        <v>1</v>
      </c>
      <c r="X32" s="7">
        <v>4.3</v>
      </c>
      <c r="Y32" s="7">
        <v>4.5</v>
      </c>
      <c r="Z32" s="31">
        <v>4.3</v>
      </c>
      <c r="AA32" s="31">
        <v>4.4000000000000004</v>
      </c>
      <c r="AB32" s="40">
        <v>4.375</v>
      </c>
      <c r="AC32">
        <v>59</v>
      </c>
      <c r="AD32">
        <v>1</v>
      </c>
      <c r="AE32">
        <v>1</v>
      </c>
      <c r="AF32">
        <v>0</v>
      </c>
      <c r="AG32">
        <v>4.5999999999999996</v>
      </c>
      <c r="AH32">
        <v>4.7</v>
      </c>
      <c r="AI32" s="31">
        <v>4.7</v>
      </c>
      <c r="AJ32" s="31">
        <v>5</v>
      </c>
      <c r="AK32" s="40">
        <v>4.75</v>
      </c>
      <c r="AL32" s="5">
        <v>50</v>
      </c>
      <c r="AM32">
        <v>1</v>
      </c>
      <c r="AN32">
        <v>1</v>
      </c>
      <c r="AO32">
        <v>0</v>
      </c>
      <c r="AP32">
        <v>5.4</v>
      </c>
      <c r="AQ32">
        <v>5.8</v>
      </c>
      <c r="AR32" s="31">
        <v>5.5</v>
      </c>
      <c r="AS32" s="31">
        <v>6.2</v>
      </c>
      <c r="AT32" s="39">
        <v>5.7249999999999996</v>
      </c>
      <c r="AU32" s="1">
        <v>1</v>
      </c>
      <c r="AV32" s="1">
        <v>0</v>
      </c>
      <c r="AW32">
        <v>0</v>
      </c>
      <c r="AX32">
        <v>1</v>
      </c>
      <c r="AY32">
        <v>1</v>
      </c>
      <c r="AZ32">
        <f t="shared" si="0"/>
        <v>27</v>
      </c>
      <c r="BA32">
        <f t="shared" si="1"/>
        <v>36</v>
      </c>
      <c r="BB32">
        <v>1</v>
      </c>
      <c r="BC32">
        <v>0</v>
      </c>
      <c r="BD32" s="1">
        <v>3.8</v>
      </c>
      <c r="BE32" s="31">
        <v>3.9</v>
      </c>
      <c r="BF32">
        <v>3.8</v>
      </c>
      <c r="BG32">
        <v>3.8</v>
      </c>
    </row>
    <row r="33" spans="1:96" x14ac:dyDescent="0.2">
      <c r="A33" t="s">
        <v>38</v>
      </c>
      <c r="B33">
        <v>16</v>
      </c>
      <c r="C33" s="2">
        <v>1</v>
      </c>
      <c r="D33">
        <v>1</v>
      </c>
      <c r="E33">
        <v>1</v>
      </c>
      <c r="F33">
        <v>0</v>
      </c>
      <c r="G33">
        <v>1</v>
      </c>
      <c r="H33">
        <v>81</v>
      </c>
      <c r="I33">
        <v>240</v>
      </c>
      <c r="J33">
        <f t="shared" si="2"/>
        <v>25.715592135345226</v>
      </c>
      <c r="K33">
        <v>19</v>
      </c>
      <c r="L33">
        <v>2</v>
      </c>
      <c r="M33" t="s">
        <v>0</v>
      </c>
      <c r="N33">
        <v>12</v>
      </c>
      <c r="O33">
        <v>12</v>
      </c>
      <c r="P33">
        <v>1</v>
      </c>
      <c r="Q33">
        <v>0</v>
      </c>
      <c r="R33" s="2">
        <v>1</v>
      </c>
      <c r="S33">
        <v>86</v>
      </c>
      <c r="T33">
        <v>0</v>
      </c>
      <c r="U33">
        <v>0</v>
      </c>
      <c r="V33">
        <v>0</v>
      </c>
      <c r="W33">
        <v>1</v>
      </c>
      <c r="X33" s="7">
        <v>4.4000000000000004</v>
      </c>
      <c r="Y33" s="7">
        <v>4.8</v>
      </c>
      <c r="Z33" s="31">
        <v>4.4000000000000004</v>
      </c>
      <c r="AA33" s="31">
        <v>4.8</v>
      </c>
      <c r="AB33" s="40">
        <v>4.5999999999999996</v>
      </c>
      <c r="AC33">
        <v>59</v>
      </c>
      <c r="AD33">
        <v>1</v>
      </c>
      <c r="AE33">
        <v>1</v>
      </c>
      <c r="AF33">
        <v>1</v>
      </c>
      <c r="AG33" s="7">
        <v>4.9000000000000004</v>
      </c>
      <c r="AH33" s="7">
        <v>4.9000000000000004</v>
      </c>
      <c r="AI33" s="31">
        <v>5.0999999999999996</v>
      </c>
      <c r="AJ33" s="31">
        <v>5.7</v>
      </c>
      <c r="AK33" s="40">
        <v>5.15</v>
      </c>
      <c r="AL33">
        <v>94</v>
      </c>
      <c r="AM33">
        <v>1</v>
      </c>
      <c r="AN33">
        <v>0</v>
      </c>
      <c r="AO33">
        <v>1</v>
      </c>
      <c r="AP33" s="7">
        <v>5.8</v>
      </c>
      <c r="AQ33" s="7">
        <v>5.5</v>
      </c>
      <c r="AR33" s="31">
        <v>5.9</v>
      </c>
      <c r="AS33" s="31">
        <v>5.3</v>
      </c>
      <c r="AT33" s="39">
        <v>5.6250000000000009</v>
      </c>
      <c r="AU33" s="1">
        <v>1</v>
      </c>
      <c r="AV33" s="1">
        <v>0</v>
      </c>
      <c r="AW33">
        <v>0</v>
      </c>
      <c r="AX33">
        <v>1</v>
      </c>
      <c r="AY33">
        <v>1</v>
      </c>
      <c r="AZ33">
        <f t="shared" si="0"/>
        <v>27</v>
      </c>
      <c r="BA33">
        <f t="shared" si="1"/>
        <v>-8</v>
      </c>
      <c r="BB33">
        <v>1</v>
      </c>
      <c r="BC33">
        <v>1</v>
      </c>
      <c r="BD33" s="9">
        <v>5.7</v>
      </c>
      <c r="BE33" s="32">
        <v>5.9</v>
      </c>
      <c r="BF33" s="8">
        <v>5.7</v>
      </c>
      <c r="BG33" s="8">
        <v>5</v>
      </c>
    </row>
    <row r="34" spans="1:96" x14ac:dyDescent="0.2">
      <c r="A34" t="s">
        <v>37</v>
      </c>
      <c r="B34">
        <v>17</v>
      </c>
      <c r="C34" s="2">
        <v>1</v>
      </c>
      <c r="D34">
        <v>1</v>
      </c>
      <c r="E34">
        <v>0</v>
      </c>
      <c r="F34">
        <v>1</v>
      </c>
      <c r="G34">
        <v>1</v>
      </c>
      <c r="H34">
        <v>76</v>
      </c>
      <c r="I34">
        <v>195</v>
      </c>
      <c r="J34">
        <f t="shared" si="2"/>
        <v>23.733552631578945</v>
      </c>
      <c r="K34">
        <v>19</v>
      </c>
      <c r="L34">
        <v>2</v>
      </c>
      <c r="M34" t="s">
        <v>0</v>
      </c>
      <c r="N34">
        <v>7</v>
      </c>
      <c r="O34">
        <v>5</v>
      </c>
      <c r="P34">
        <v>0</v>
      </c>
      <c r="Q34">
        <v>0</v>
      </c>
      <c r="R34">
        <v>0</v>
      </c>
      <c r="S34">
        <v>67</v>
      </c>
      <c r="T34">
        <v>0</v>
      </c>
      <c r="U34">
        <v>0</v>
      </c>
      <c r="V34">
        <v>1</v>
      </c>
      <c r="W34">
        <v>0</v>
      </c>
      <c r="X34">
        <v>3.8</v>
      </c>
      <c r="Y34">
        <v>3.8</v>
      </c>
      <c r="Z34" s="31">
        <v>3.9</v>
      </c>
      <c r="AA34" s="31">
        <v>4.0999999999999996</v>
      </c>
      <c r="AB34" s="40">
        <v>3.9</v>
      </c>
      <c r="AC34">
        <v>68</v>
      </c>
      <c r="AD34">
        <v>1</v>
      </c>
      <c r="AE34">
        <v>0</v>
      </c>
      <c r="AF34">
        <v>1</v>
      </c>
      <c r="AG34" s="7">
        <v>5.2</v>
      </c>
      <c r="AH34" s="7">
        <v>4.9000000000000004</v>
      </c>
      <c r="AI34" s="31">
        <v>5.0999999999999996</v>
      </c>
      <c r="AJ34" s="31">
        <v>5.5</v>
      </c>
      <c r="AK34" s="40">
        <v>5.1750000000000007</v>
      </c>
      <c r="AL34">
        <v>61</v>
      </c>
      <c r="AM34">
        <v>0</v>
      </c>
      <c r="AN34">
        <v>0</v>
      </c>
      <c r="AO34">
        <v>1</v>
      </c>
      <c r="AP34" s="7">
        <v>5.5</v>
      </c>
      <c r="AQ34" s="7">
        <v>5.2</v>
      </c>
      <c r="AR34" s="31">
        <v>5.5</v>
      </c>
      <c r="AS34" s="31">
        <v>5.5</v>
      </c>
      <c r="AT34" s="39">
        <v>5.4249999999999998</v>
      </c>
      <c r="AU34" s="1">
        <v>0</v>
      </c>
      <c r="AV34" s="1">
        <v>0</v>
      </c>
      <c r="AW34">
        <v>0</v>
      </c>
      <c r="AX34">
        <v>1</v>
      </c>
      <c r="AY34">
        <v>1</v>
      </c>
      <c r="AZ34">
        <f t="shared" ref="AZ34:AZ67" si="3">S34-AC34</f>
        <v>-1</v>
      </c>
      <c r="BA34">
        <f t="shared" ref="BA34:BA67" si="4">S34-AL34</f>
        <v>6</v>
      </c>
      <c r="BB34">
        <v>0</v>
      </c>
      <c r="BC34">
        <v>1</v>
      </c>
      <c r="BD34" s="1">
        <v>4.7</v>
      </c>
      <c r="BE34" s="31">
        <v>4.3</v>
      </c>
      <c r="BF34">
        <v>4.7</v>
      </c>
      <c r="BG34">
        <v>4.8</v>
      </c>
    </row>
    <row r="35" spans="1:96" x14ac:dyDescent="0.2">
      <c r="A35" s="8" t="s">
        <v>36</v>
      </c>
      <c r="B35">
        <v>17</v>
      </c>
      <c r="C35" s="2">
        <v>1</v>
      </c>
      <c r="D35">
        <v>1</v>
      </c>
      <c r="E35">
        <v>0</v>
      </c>
      <c r="F35">
        <v>1</v>
      </c>
      <c r="G35" s="8">
        <v>1</v>
      </c>
      <c r="H35" s="8">
        <v>76</v>
      </c>
      <c r="I35" s="8">
        <v>195</v>
      </c>
      <c r="J35">
        <f t="shared" si="2"/>
        <v>23.733552631578945</v>
      </c>
      <c r="K35" s="8">
        <v>19</v>
      </c>
      <c r="L35" s="8">
        <v>2</v>
      </c>
      <c r="M35" s="8" t="s">
        <v>0</v>
      </c>
      <c r="N35" s="8">
        <v>7</v>
      </c>
      <c r="O35" s="8">
        <v>5</v>
      </c>
      <c r="P35" s="8">
        <v>0</v>
      </c>
      <c r="Q35" s="8">
        <v>0</v>
      </c>
      <c r="R35" s="10">
        <v>0</v>
      </c>
      <c r="S35" s="8">
        <v>70</v>
      </c>
      <c r="T35" s="8">
        <v>0</v>
      </c>
      <c r="U35" s="8">
        <v>1</v>
      </c>
      <c r="V35" s="8">
        <v>1</v>
      </c>
      <c r="W35" s="8">
        <v>0</v>
      </c>
      <c r="X35" s="8">
        <v>5.7</v>
      </c>
      <c r="Y35" s="8">
        <v>5</v>
      </c>
      <c r="Z35" s="32">
        <v>5.9</v>
      </c>
      <c r="AA35" s="32">
        <v>4.9000000000000004</v>
      </c>
      <c r="AB35" s="40">
        <v>5.375</v>
      </c>
      <c r="AC35" s="8">
        <v>75</v>
      </c>
      <c r="AD35" s="8">
        <v>0</v>
      </c>
      <c r="AE35" s="8">
        <v>0</v>
      </c>
      <c r="AF35" s="8">
        <v>0</v>
      </c>
      <c r="AG35" s="8">
        <v>4.4000000000000004</v>
      </c>
      <c r="AH35" s="8">
        <v>4.5</v>
      </c>
      <c r="AI35" s="32">
        <v>3.9</v>
      </c>
      <c r="AJ35" s="32">
        <v>4.5</v>
      </c>
      <c r="AK35" s="40">
        <v>4.3250000000000002</v>
      </c>
      <c r="AL35" s="8">
        <v>65</v>
      </c>
      <c r="AM35" s="8">
        <v>0</v>
      </c>
      <c r="AN35" s="8">
        <v>0</v>
      </c>
      <c r="AO35" s="8">
        <v>1</v>
      </c>
      <c r="AP35" s="12">
        <v>5.4</v>
      </c>
      <c r="AQ35" s="12">
        <v>5.4</v>
      </c>
      <c r="AR35" s="32">
        <v>5.5</v>
      </c>
      <c r="AS35" s="32">
        <v>5.5</v>
      </c>
      <c r="AT35" s="39">
        <v>5.45</v>
      </c>
      <c r="AU35" s="9">
        <v>0</v>
      </c>
      <c r="AV35" s="9">
        <v>0</v>
      </c>
      <c r="AW35">
        <v>0</v>
      </c>
      <c r="AX35" s="8">
        <v>1</v>
      </c>
      <c r="AY35" s="8">
        <v>1</v>
      </c>
      <c r="AZ35">
        <f t="shared" si="3"/>
        <v>-5</v>
      </c>
      <c r="BA35">
        <f t="shared" si="4"/>
        <v>5</v>
      </c>
      <c r="BB35" s="8">
        <v>0</v>
      </c>
      <c r="BC35">
        <v>1</v>
      </c>
      <c r="BD35" s="1">
        <v>5</v>
      </c>
      <c r="BE35" s="31">
        <v>4.9000000000000004</v>
      </c>
      <c r="BF35">
        <v>5</v>
      </c>
      <c r="BG35">
        <v>5</v>
      </c>
    </row>
    <row r="36" spans="1:96" s="8" customFormat="1" x14ac:dyDescent="0.2">
      <c r="A36" t="s">
        <v>35</v>
      </c>
      <c r="B36">
        <v>18</v>
      </c>
      <c r="C36" s="2">
        <v>2</v>
      </c>
      <c r="D36">
        <v>1</v>
      </c>
      <c r="E36">
        <v>1</v>
      </c>
      <c r="F36">
        <v>1</v>
      </c>
      <c r="G36">
        <v>1</v>
      </c>
      <c r="H36">
        <v>79</v>
      </c>
      <c r="I36">
        <v>205</v>
      </c>
      <c r="J36">
        <f t="shared" si="2"/>
        <v>23.091651978849544</v>
      </c>
      <c r="K36">
        <v>21</v>
      </c>
      <c r="L36">
        <v>1</v>
      </c>
      <c r="M36" t="s">
        <v>5</v>
      </c>
      <c r="N36">
        <v>15</v>
      </c>
      <c r="O36">
        <v>11</v>
      </c>
      <c r="P36">
        <v>0</v>
      </c>
      <c r="Q36">
        <v>0</v>
      </c>
      <c r="R36" s="2">
        <v>0</v>
      </c>
      <c r="S36">
        <v>100</v>
      </c>
      <c r="T36">
        <v>0</v>
      </c>
      <c r="U36">
        <v>0</v>
      </c>
      <c r="V36">
        <v>0</v>
      </c>
      <c r="W36">
        <v>0</v>
      </c>
      <c r="X36">
        <v>4.7</v>
      </c>
      <c r="Y36">
        <v>4.8</v>
      </c>
      <c r="Z36" s="31">
        <v>4.3</v>
      </c>
      <c r="AA36" s="31">
        <v>4.4000000000000004</v>
      </c>
      <c r="AB36" s="40">
        <v>4.5500000000000007</v>
      </c>
      <c r="AC36">
        <v>100</v>
      </c>
      <c r="AD36">
        <v>0</v>
      </c>
      <c r="AE36">
        <v>0</v>
      </c>
      <c r="AF36">
        <v>0</v>
      </c>
      <c r="AG36">
        <v>4.5</v>
      </c>
      <c r="AH36">
        <v>4.8</v>
      </c>
      <c r="AI36" s="31">
        <v>4.5999999999999996</v>
      </c>
      <c r="AJ36" s="31">
        <v>4.5999999999999996</v>
      </c>
      <c r="AK36" s="40">
        <v>4.625</v>
      </c>
      <c r="AL36">
        <v>99</v>
      </c>
      <c r="AM36">
        <v>0</v>
      </c>
      <c r="AN36">
        <v>0</v>
      </c>
      <c r="AO36">
        <v>0</v>
      </c>
      <c r="AP36">
        <v>4.2</v>
      </c>
      <c r="AQ36">
        <v>4.5</v>
      </c>
      <c r="AR36" s="31">
        <v>4</v>
      </c>
      <c r="AS36" s="31">
        <v>4.2</v>
      </c>
      <c r="AT36" s="39">
        <v>4.2249999999999996</v>
      </c>
      <c r="AU36" s="1">
        <v>0</v>
      </c>
      <c r="AV36" s="1">
        <v>0</v>
      </c>
      <c r="AW36">
        <v>0</v>
      </c>
      <c r="AX36">
        <v>0</v>
      </c>
      <c r="AY36">
        <v>0</v>
      </c>
      <c r="AZ36">
        <f t="shared" si="3"/>
        <v>0</v>
      </c>
      <c r="BA36">
        <f t="shared" si="4"/>
        <v>1</v>
      </c>
      <c r="BB36">
        <v>0</v>
      </c>
      <c r="BC36">
        <v>0</v>
      </c>
      <c r="BD36" s="35">
        <v>6.9</v>
      </c>
      <c r="BE36" s="31">
        <v>6.7</v>
      </c>
      <c r="BF36" s="7">
        <v>6.9</v>
      </c>
      <c r="BG36" s="7">
        <v>5.7</v>
      </c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</row>
    <row r="37" spans="1:96" x14ac:dyDescent="0.2">
      <c r="A37" t="s">
        <v>34</v>
      </c>
      <c r="B37">
        <v>18</v>
      </c>
      <c r="C37" s="2">
        <v>2</v>
      </c>
      <c r="D37">
        <v>1</v>
      </c>
      <c r="E37">
        <v>1</v>
      </c>
      <c r="F37">
        <v>1</v>
      </c>
      <c r="G37">
        <v>1</v>
      </c>
      <c r="H37">
        <v>79</v>
      </c>
      <c r="I37">
        <v>205</v>
      </c>
      <c r="J37">
        <f t="shared" si="2"/>
        <v>23.091651978849544</v>
      </c>
      <c r="K37">
        <v>21</v>
      </c>
      <c r="L37">
        <v>1</v>
      </c>
      <c r="M37" t="s">
        <v>5</v>
      </c>
      <c r="N37">
        <v>15</v>
      </c>
      <c r="O37">
        <v>11</v>
      </c>
      <c r="P37">
        <v>0</v>
      </c>
      <c r="Q37">
        <v>0</v>
      </c>
      <c r="R37" s="2">
        <v>0</v>
      </c>
      <c r="S37">
        <v>100</v>
      </c>
      <c r="T37">
        <v>0</v>
      </c>
      <c r="U37">
        <v>0</v>
      </c>
      <c r="V37">
        <v>0</v>
      </c>
      <c r="W37">
        <v>0</v>
      </c>
      <c r="X37">
        <v>5</v>
      </c>
      <c r="Y37">
        <v>5</v>
      </c>
      <c r="Z37" s="31">
        <v>4.9000000000000004</v>
      </c>
      <c r="AA37" s="31">
        <v>5</v>
      </c>
      <c r="AB37" s="40">
        <v>4.9749999999999996</v>
      </c>
      <c r="AC37">
        <v>100</v>
      </c>
      <c r="AD37">
        <v>0</v>
      </c>
      <c r="AE37">
        <v>0</v>
      </c>
      <c r="AF37">
        <v>0</v>
      </c>
      <c r="AG37">
        <v>5.6</v>
      </c>
      <c r="AH37">
        <v>5.2</v>
      </c>
      <c r="AI37" s="31">
        <v>5.9</v>
      </c>
      <c r="AJ37" s="31">
        <v>5.3</v>
      </c>
      <c r="AK37" s="40">
        <v>5.5000000000000009</v>
      </c>
      <c r="AL37">
        <v>99</v>
      </c>
      <c r="AM37">
        <v>0</v>
      </c>
      <c r="AN37">
        <v>0</v>
      </c>
      <c r="AO37">
        <v>0</v>
      </c>
      <c r="AP37">
        <v>5.7</v>
      </c>
      <c r="AQ37">
        <v>5.0999999999999996</v>
      </c>
      <c r="AR37" s="31">
        <v>5.8</v>
      </c>
      <c r="AS37" s="31">
        <v>5.0999999999999996</v>
      </c>
      <c r="AT37" s="39">
        <v>5.4250000000000007</v>
      </c>
      <c r="AU37" s="1">
        <v>0</v>
      </c>
      <c r="AV37" s="1">
        <v>0</v>
      </c>
      <c r="AW37">
        <v>0</v>
      </c>
      <c r="AX37">
        <v>0</v>
      </c>
      <c r="AY37">
        <v>0</v>
      </c>
      <c r="AZ37">
        <f t="shared" si="3"/>
        <v>0</v>
      </c>
      <c r="BA37">
        <f t="shared" si="4"/>
        <v>1</v>
      </c>
      <c r="BB37">
        <v>0</v>
      </c>
      <c r="BC37">
        <v>0</v>
      </c>
      <c r="BD37" s="1">
        <v>3.5</v>
      </c>
      <c r="BE37" s="31">
        <v>3.5</v>
      </c>
      <c r="BF37">
        <v>3.5</v>
      </c>
      <c r="BG37">
        <v>3.7</v>
      </c>
    </row>
    <row r="38" spans="1:96" x14ac:dyDescent="0.2">
      <c r="A38" t="s">
        <v>33</v>
      </c>
      <c r="B38">
        <v>19</v>
      </c>
      <c r="C38" s="2">
        <v>2</v>
      </c>
      <c r="D38">
        <v>1</v>
      </c>
      <c r="E38">
        <v>1</v>
      </c>
      <c r="F38">
        <v>0</v>
      </c>
      <c r="G38">
        <v>1</v>
      </c>
      <c r="H38">
        <v>81</v>
      </c>
      <c r="I38">
        <v>220</v>
      </c>
      <c r="J38">
        <f t="shared" si="2"/>
        <v>23.572626124066453</v>
      </c>
      <c r="K38">
        <v>23</v>
      </c>
      <c r="L38">
        <v>2</v>
      </c>
      <c r="M38" t="s">
        <v>12</v>
      </c>
      <c r="N38" s="6"/>
      <c r="O38" s="6"/>
      <c r="P38">
        <v>0</v>
      </c>
      <c r="Q38">
        <v>0</v>
      </c>
      <c r="R38" s="2">
        <v>0</v>
      </c>
      <c r="S38">
        <v>100</v>
      </c>
      <c r="T38">
        <v>0</v>
      </c>
      <c r="U38">
        <v>0</v>
      </c>
      <c r="V38">
        <v>0</v>
      </c>
      <c r="W38">
        <v>1</v>
      </c>
      <c r="X38" s="7">
        <v>6.9</v>
      </c>
      <c r="Y38" s="7">
        <v>5.7</v>
      </c>
      <c r="Z38" s="31">
        <v>6.7</v>
      </c>
      <c r="AA38" s="31">
        <v>5.2</v>
      </c>
      <c r="AB38" s="40">
        <v>6.125</v>
      </c>
      <c r="AC38">
        <v>100</v>
      </c>
      <c r="AD38">
        <v>0</v>
      </c>
      <c r="AE38">
        <v>0</v>
      </c>
      <c r="AF38">
        <v>1</v>
      </c>
      <c r="AG38" s="4">
        <v>9.9</v>
      </c>
      <c r="AH38" s="4">
        <v>8.4</v>
      </c>
      <c r="AI38" s="31">
        <v>8.5</v>
      </c>
      <c r="AJ38" s="31">
        <v>10.3</v>
      </c>
      <c r="AK38" s="40">
        <v>9.2750000000000004</v>
      </c>
      <c r="AL38">
        <v>100</v>
      </c>
      <c r="AM38">
        <v>0</v>
      </c>
      <c r="AN38">
        <v>0</v>
      </c>
      <c r="AO38">
        <v>1</v>
      </c>
      <c r="AP38" s="4">
        <v>8.1</v>
      </c>
      <c r="AQ38" s="4">
        <v>8.1999999999999993</v>
      </c>
      <c r="AR38" s="31">
        <v>8.4</v>
      </c>
      <c r="AS38" s="31">
        <v>8.4</v>
      </c>
      <c r="AT38" s="39">
        <v>8.2749999999999986</v>
      </c>
      <c r="AU38" s="1">
        <v>1</v>
      </c>
      <c r="AV38" s="1">
        <v>1</v>
      </c>
      <c r="AW38">
        <v>0</v>
      </c>
      <c r="AX38">
        <v>0</v>
      </c>
      <c r="AY38">
        <v>0</v>
      </c>
      <c r="AZ38">
        <f t="shared" si="3"/>
        <v>0</v>
      </c>
      <c r="BA38">
        <f t="shared" si="4"/>
        <v>0</v>
      </c>
      <c r="BB38">
        <v>0</v>
      </c>
      <c r="BC38">
        <v>1</v>
      </c>
      <c r="BD38" s="1">
        <v>5.3</v>
      </c>
      <c r="BE38" s="34">
        <v>5.0999999999999996</v>
      </c>
      <c r="BF38">
        <v>5.3</v>
      </c>
      <c r="BG38">
        <v>5.8</v>
      </c>
    </row>
    <row r="39" spans="1:96" x14ac:dyDescent="0.2">
      <c r="A39" s="5" t="s">
        <v>32</v>
      </c>
      <c r="B39" s="5">
        <v>19</v>
      </c>
      <c r="C39" s="2">
        <v>2</v>
      </c>
      <c r="D39">
        <v>0</v>
      </c>
      <c r="E39">
        <v>0</v>
      </c>
      <c r="F39">
        <v>0</v>
      </c>
      <c r="G39">
        <v>1</v>
      </c>
      <c r="H39">
        <v>81</v>
      </c>
      <c r="I39">
        <v>220</v>
      </c>
      <c r="J39">
        <f t="shared" si="2"/>
        <v>23.572626124066453</v>
      </c>
      <c r="K39">
        <v>23</v>
      </c>
      <c r="L39">
        <v>2</v>
      </c>
      <c r="M39" t="s">
        <v>12</v>
      </c>
      <c r="N39" s="6"/>
      <c r="O39" s="6"/>
      <c r="P39">
        <v>1</v>
      </c>
      <c r="Q39" s="5">
        <v>1</v>
      </c>
      <c r="R39" s="2">
        <v>0</v>
      </c>
      <c r="S39">
        <v>90</v>
      </c>
      <c r="T39">
        <v>0</v>
      </c>
      <c r="U39">
        <v>0</v>
      </c>
      <c r="V39">
        <v>0</v>
      </c>
      <c r="W39">
        <v>1</v>
      </c>
      <c r="X39" s="5">
        <v>12.3</v>
      </c>
      <c r="Y39" s="5">
        <v>12.2</v>
      </c>
      <c r="Z39" s="31">
        <v>13.5</v>
      </c>
      <c r="AA39" s="31">
        <v>13.1</v>
      </c>
      <c r="AB39" s="40">
        <v>12.775</v>
      </c>
      <c r="AC39">
        <v>77</v>
      </c>
      <c r="AD39">
        <v>0</v>
      </c>
      <c r="AE39">
        <v>0</v>
      </c>
      <c r="AF39">
        <v>1</v>
      </c>
      <c r="AG39" s="4">
        <v>14.2</v>
      </c>
      <c r="AH39" s="4">
        <v>14.5</v>
      </c>
      <c r="AI39" s="31">
        <v>13.1</v>
      </c>
      <c r="AJ39" s="31">
        <v>12.7</v>
      </c>
      <c r="AK39" s="40">
        <v>13.625</v>
      </c>
      <c r="AL39">
        <v>100</v>
      </c>
      <c r="AM39">
        <v>0</v>
      </c>
      <c r="AN39">
        <v>0</v>
      </c>
      <c r="AO39">
        <v>1</v>
      </c>
      <c r="AP39" s="4">
        <v>13.3</v>
      </c>
      <c r="AQ39" s="4">
        <v>12.8</v>
      </c>
      <c r="AR39" s="31">
        <v>13</v>
      </c>
      <c r="AS39" s="31">
        <v>13.3</v>
      </c>
      <c r="AT39" s="39">
        <v>13.100000000000001</v>
      </c>
      <c r="AU39" s="1">
        <v>1</v>
      </c>
      <c r="AV39" s="1">
        <v>1</v>
      </c>
      <c r="AW39">
        <v>0</v>
      </c>
      <c r="AX39">
        <v>1</v>
      </c>
      <c r="AY39">
        <v>0</v>
      </c>
      <c r="AZ39" s="5">
        <f t="shared" si="3"/>
        <v>13</v>
      </c>
      <c r="BA39" s="5">
        <f t="shared" si="4"/>
        <v>-10</v>
      </c>
      <c r="BB39">
        <v>1</v>
      </c>
      <c r="BC39">
        <v>1</v>
      </c>
      <c r="BD39" s="1">
        <v>7</v>
      </c>
      <c r="BE39" s="31">
        <v>6.3</v>
      </c>
      <c r="BF39">
        <v>7</v>
      </c>
      <c r="BG39">
        <v>7</v>
      </c>
    </row>
    <row r="40" spans="1:96" x14ac:dyDescent="0.2">
      <c r="A40" t="s">
        <v>31</v>
      </c>
      <c r="B40">
        <v>20</v>
      </c>
      <c r="C40" s="2">
        <v>2</v>
      </c>
      <c r="D40">
        <v>1</v>
      </c>
      <c r="E40">
        <v>1</v>
      </c>
      <c r="F40">
        <v>1</v>
      </c>
      <c r="G40">
        <v>1</v>
      </c>
      <c r="H40">
        <v>73</v>
      </c>
      <c r="I40">
        <v>170</v>
      </c>
      <c r="J40">
        <f t="shared" si="2"/>
        <v>22.426346406455245</v>
      </c>
      <c r="K40">
        <v>22</v>
      </c>
      <c r="L40">
        <v>1</v>
      </c>
      <c r="M40" t="s">
        <v>12</v>
      </c>
      <c r="N40">
        <v>15</v>
      </c>
      <c r="O40">
        <v>10</v>
      </c>
      <c r="P40">
        <v>0</v>
      </c>
      <c r="Q40">
        <v>0</v>
      </c>
      <c r="R40" s="2">
        <v>0</v>
      </c>
      <c r="S40">
        <v>100</v>
      </c>
      <c r="T40">
        <v>0</v>
      </c>
      <c r="U40">
        <v>0</v>
      </c>
      <c r="V40">
        <v>0</v>
      </c>
      <c r="W40">
        <v>0</v>
      </c>
      <c r="X40">
        <v>3.5</v>
      </c>
      <c r="Y40">
        <v>3.7</v>
      </c>
      <c r="Z40" s="31">
        <v>3.5</v>
      </c>
      <c r="AA40" s="31">
        <v>3.8</v>
      </c>
      <c r="AB40" s="40">
        <v>3.625</v>
      </c>
      <c r="AC40">
        <v>94</v>
      </c>
      <c r="AD40">
        <v>0</v>
      </c>
      <c r="AE40">
        <v>0</v>
      </c>
      <c r="AF40">
        <v>0</v>
      </c>
      <c r="AG40">
        <v>4</v>
      </c>
      <c r="AH40">
        <v>3.9</v>
      </c>
      <c r="AI40" s="31">
        <v>4</v>
      </c>
      <c r="AJ40" s="31">
        <v>3.9</v>
      </c>
      <c r="AK40" s="40">
        <v>3.95</v>
      </c>
      <c r="AL40">
        <v>100</v>
      </c>
      <c r="AM40">
        <v>0</v>
      </c>
      <c r="AN40">
        <v>0</v>
      </c>
      <c r="AO40">
        <v>0</v>
      </c>
      <c r="AP40">
        <v>3.6</v>
      </c>
      <c r="AQ40">
        <v>3.9</v>
      </c>
      <c r="AR40" s="31">
        <v>3.5</v>
      </c>
      <c r="AS40" s="31">
        <v>3.5</v>
      </c>
      <c r="AT40" s="39">
        <v>3.625</v>
      </c>
      <c r="AU40" s="1">
        <v>0</v>
      </c>
      <c r="AV40" s="1">
        <v>0</v>
      </c>
      <c r="AW40">
        <v>0</v>
      </c>
      <c r="AX40">
        <v>0</v>
      </c>
      <c r="AY40">
        <v>0</v>
      </c>
      <c r="AZ40">
        <f t="shared" si="3"/>
        <v>6</v>
      </c>
      <c r="BA40">
        <f t="shared" si="4"/>
        <v>0</v>
      </c>
      <c r="BB40">
        <v>0</v>
      </c>
      <c r="BC40">
        <v>0</v>
      </c>
      <c r="BD40" s="1">
        <v>6</v>
      </c>
      <c r="BE40" s="31">
        <v>6.1</v>
      </c>
      <c r="BF40">
        <v>6</v>
      </c>
      <c r="BG40">
        <v>5.6</v>
      </c>
    </row>
    <row r="41" spans="1:96" x14ac:dyDescent="0.2">
      <c r="A41" s="5" t="s">
        <v>30</v>
      </c>
      <c r="B41" s="5">
        <v>20</v>
      </c>
      <c r="C41" s="2">
        <v>2</v>
      </c>
      <c r="D41">
        <v>0</v>
      </c>
      <c r="E41">
        <v>0</v>
      </c>
      <c r="F41">
        <v>0</v>
      </c>
      <c r="G41">
        <v>1</v>
      </c>
      <c r="H41">
        <v>73</v>
      </c>
      <c r="I41">
        <v>170</v>
      </c>
      <c r="J41">
        <f t="shared" si="2"/>
        <v>22.426346406455245</v>
      </c>
      <c r="K41">
        <v>22</v>
      </c>
      <c r="L41">
        <v>1</v>
      </c>
      <c r="M41" t="s">
        <v>12</v>
      </c>
      <c r="N41">
        <v>15</v>
      </c>
      <c r="O41">
        <v>10</v>
      </c>
      <c r="P41">
        <v>1</v>
      </c>
      <c r="Q41" s="5">
        <v>1</v>
      </c>
      <c r="R41" s="2">
        <v>0</v>
      </c>
      <c r="S41">
        <v>59</v>
      </c>
      <c r="T41">
        <v>0</v>
      </c>
      <c r="U41">
        <v>0</v>
      </c>
      <c r="V41">
        <v>1</v>
      </c>
      <c r="W41">
        <v>1</v>
      </c>
      <c r="X41" s="5">
        <v>10.6</v>
      </c>
      <c r="Y41" s="5">
        <v>10.3</v>
      </c>
      <c r="Z41" s="31">
        <v>10.5</v>
      </c>
      <c r="AA41" s="31">
        <v>10.6</v>
      </c>
      <c r="AB41" s="40">
        <v>10.5</v>
      </c>
      <c r="AC41">
        <v>71</v>
      </c>
      <c r="AD41">
        <v>0</v>
      </c>
      <c r="AE41">
        <v>0</v>
      </c>
      <c r="AF41">
        <v>1</v>
      </c>
      <c r="AG41">
        <v>15.9</v>
      </c>
      <c r="AH41">
        <v>15.6</v>
      </c>
      <c r="AI41" s="31">
        <v>16.100000000000001</v>
      </c>
      <c r="AJ41" s="31">
        <v>15.6</v>
      </c>
      <c r="AK41" s="40">
        <v>15.8</v>
      </c>
      <c r="AL41">
        <v>84</v>
      </c>
      <c r="AM41">
        <v>0</v>
      </c>
      <c r="AN41">
        <v>0</v>
      </c>
      <c r="AO41">
        <v>1</v>
      </c>
      <c r="AP41">
        <v>14.3</v>
      </c>
      <c r="AQ41">
        <v>15.4</v>
      </c>
      <c r="AR41" s="31">
        <v>16.3</v>
      </c>
      <c r="AS41" s="31">
        <v>16.600000000000001</v>
      </c>
      <c r="AT41" s="39">
        <v>15.65</v>
      </c>
      <c r="AU41" s="1">
        <v>0</v>
      </c>
      <c r="AV41" s="1">
        <v>0</v>
      </c>
      <c r="AW41">
        <v>0</v>
      </c>
      <c r="AX41">
        <v>1</v>
      </c>
      <c r="AY41">
        <v>0</v>
      </c>
      <c r="AZ41" s="5">
        <f t="shared" si="3"/>
        <v>-12</v>
      </c>
      <c r="BA41" s="5">
        <f t="shared" si="4"/>
        <v>-25</v>
      </c>
      <c r="BB41">
        <v>0</v>
      </c>
      <c r="BC41">
        <v>1</v>
      </c>
      <c r="BD41" s="1">
        <v>4.5999999999999996</v>
      </c>
      <c r="BE41" s="31">
        <v>4.5999999999999996</v>
      </c>
      <c r="BF41">
        <v>4.5999999999999996</v>
      </c>
      <c r="BG41">
        <v>4.7</v>
      </c>
    </row>
    <row r="42" spans="1:96" x14ac:dyDescent="0.2">
      <c r="A42" t="s">
        <v>29</v>
      </c>
      <c r="B42">
        <v>21</v>
      </c>
      <c r="C42" s="2">
        <v>2</v>
      </c>
      <c r="D42">
        <v>1</v>
      </c>
      <c r="E42">
        <v>0</v>
      </c>
      <c r="F42">
        <v>1</v>
      </c>
      <c r="G42">
        <v>1</v>
      </c>
      <c r="H42">
        <v>73</v>
      </c>
      <c r="I42">
        <v>188</v>
      </c>
      <c r="J42">
        <f t="shared" si="2"/>
        <v>24.800900731844624</v>
      </c>
      <c r="K42">
        <v>22</v>
      </c>
      <c r="L42">
        <v>1</v>
      </c>
      <c r="M42" t="s">
        <v>12</v>
      </c>
      <c r="N42">
        <v>18</v>
      </c>
      <c r="O42">
        <v>8</v>
      </c>
      <c r="P42">
        <v>0</v>
      </c>
      <c r="Q42">
        <v>0</v>
      </c>
      <c r="R42" s="2">
        <v>1</v>
      </c>
      <c r="S42">
        <v>89</v>
      </c>
      <c r="T42">
        <v>1</v>
      </c>
      <c r="U42">
        <v>0</v>
      </c>
      <c r="V42">
        <v>1</v>
      </c>
      <c r="W42">
        <v>0</v>
      </c>
      <c r="X42">
        <v>5.3</v>
      </c>
      <c r="Y42">
        <v>5.8</v>
      </c>
      <c r="Z42" s="34">
        <v>5.0999999999999996</v>
      </c>
      <c r="AA42" s="31">
        <v>6.5</v>
      </c>
      <c r="AB42" s="40">
        <v>5.6749999999999998</v>
      </c>
      <c r="AC42">
        <v>52</v>
      </c>
      <c r="AD42">
        <v>1</v>
      </c>
      <c r="AE42">
        <v>0</v>
      </c>
      <c r="AF42">
        <v>1</v>
      </c>
      <c r="AG42" s="7">
        <v>7.7</v>
      </c>
      <c r="AH42" s="7">
        <v>7.4</v>
      </c>
      <c r="AI42" s="31">
        <v>7.2</v>
      </c>
      <c r="AJ42" s="31">
        <v>7.9</v>
      </c>
      <c r="AK42" s="40">
        <v>7.5500000000000007</v>
      </c>
      <c r="AL42">
        <v>74</v>
      </c>
      <c r="AM42">
        <v>1</v>
      </c>
      <c r="AN42">
        <v>0</v>
      </c>
      <c r="AO42">
        <v>1</v>
      </c>
      <c r="AP42" s="4">
        <v>6.4</v>
      </c>
      <c r="AQ42" s="4">
        <v>6.2</v>
      </c>
      <c r="AR42" s="31">
        <v>6.6</v>
      </c>
      <c r="AS42" s="31">
        <v>6.3</v>
      </c>
      <c r="AT42" s="39">
        <v>6.3750000000000009</v>
      </c>
      <c r="AU42" s="1">
        <v>0</v>
      </c>
      <c r="AV42" s="1">
        <v>0</v>
      </c>
      <c r="AW42">
        <v>0</v>
      </c>
      <c r="AX42">
        <v>1</v>
      </c>
      <c r="AY42">
        <v>1</v>
      </c>
      <c r="AZ42">
        <f t="shared" si="3"/>
        <v>37</v>
      </c>
      <c r="BA42">
        <f t="shared" si="4"/>
        <v>15</v>
      </c>
      <c r="BB42">
        <v>1</v>
      </c>
      <c r="BC42">
        <v>1</v>
      </c>
      <c r="BD42" s="1">
        <v>3.7</v>
      </c>
      <c r="BE42" s="31">
        <v>3.7</v>
      </c>
      <c r="BF42">
        <v>3.7</v>
      </c>
      <c r="BG42">
        <v>3.8</v>
      </c>
    </row>
    <row r="43" spans="1:96" x14ac:dyDescent="0.2">
      <c r="A43" t="s">
        <v>28</v>
      </c>
      <c r="B43">
        <v>21</v>
      </c>
      <c r="C43" s="2">
        <v>2</v>
      </c>
      <c r="D43">
        <v>1</v>
      </c>
      <c r="E43">
        <v>0</v>
      </c>
      <c r="F43">
        <v>1</v>
      </c>
      <c r="G43">
        <v>1</v>
      </c>
      <c r="H43">
        <v>73</v>
      </c>
      <c r="I43">
        <v>188</v>
      </c>
      <c r="J43">
        <f t="shared" si="2"/>
        <v>24.800900731844624</v>
      </c>
      <c r="K43">
        <v>22</v>
      </c>
      <c r="L43">
        <v>1</v>
      </c>
      <c r="M43" t="s">
        <v>12</v>
      </c>
      <c r="N43">
        <v>18</v>
      </c>
      <c r="O43">
        <v>8</v>
      </c>
      <c r="P43">
        <v>0</v>
      </c>
      <c r="Q43">
        <v>0</v>
      </c>
      <c r="R43" s="2">
        <v>1</v>
      </c>
      <c r="S43">
        <v>75</v>
      </c>
      <c r="T43">
        <v>1</v>
      </c>
      <c r="U43">
        <v>0</v>
      </c>
      <c r="V43">
        <v>1</v>
      </c>
      <c r="W43">
        <v>0</v>
      </c>
      <c r="X43">
        <v>7</v>
      </c>
      <c r="Y43">
        <v>7</v>
      </c>
      <c r="Z43" s="31">
        <v>6.3</v>
      </c>
      <c r="AA43" s="31">
        <v>6.7</v>
      </c>
      <c r="AB43" s="40">
        <v>6.75</v>
      </c>
      <c r="AC43">
        <v>42</v>
      </c>
      <c r="AD43">
        <v>1</v>
      </c>
      <c r="AE43">
        <v>0</v>
      </c>
      <c r="AF43">
        <v>1</v>
      </c>
      <c r="AG43" s="4">
        <v>11.7</v>
      </c>
      <c r="AH43" s="4">
        <v>12.1</v>
      </c>
      <c r="AI43" s="31">
        <v>12</v>
      </c>
      <c r="AJ43" s="31">
        <v>11.7</v>
      </c>
      <c r="AK43" s="40">
        <v>11.875</v>
      </c>
      <c r="AL43">
        <v>77</v>
      </c>
      <c r="AM43">
        <v>1</v>
      </c>
      <c r="AN43">
        <v>0</v>
      </c>
      <c r="AO43">
        <v>1</v>
      </c>
      <c r="AP43" s="4">
        <v>10.8</v>
      </c>
      <c r="AQ43" s="4">
        <v>10.6</v>
      </c>
      <c r="AR43" s="31">
        <v>10.6</v>
      </c>
      <c r="AS43" s="31">
        <v>10.7</v>
      </c>
      <c r="AT43" s="39">
        <v>10.675000000000001</v>
      </c>
      <c r="AU43" s="1">
        <v>1</v>
      </c>
      <c r="AV43" s="1">
        <v>1</v>
      </c>
      <c r="AW43">
        <v>1</v>
      </c>
      <c r="AX43">
        <v>1</v>
      </c>
      <c r="AY43">
        <v>1</v>
      </c>
      <c r="AZ43">
        <f t="shared" si="3"/>
        <v>33</v>
      </c>
      <c r="BA43">
        <f t="shared" si="4"/>
        <v>-2</v>
      </c>
      <c r="BB43">
        <v>1</v>
      </c>
      <c r="BC43">
        <v>1</v>
      </c>
      <c r="BD43" s="1">
        <v>4.3</v>
      </c>
      <c r="BE43" s="31">
        <v>4.3</v>
      </c>
      <c r="BF43">
        <v>4.3</v>
      </c>
      <c r="BG43">
        <v>4.2</v>
      </c>
    </row>
    <row r="44" spans="1:96" x14ac:dyDescent="0.2">
      <c r="A44" t="s">
        <v>27</v>
      </c>
      <c r="B44">
        <v>22</v>
      </c>
      <c r="C44" s="2">
        <v>2</v>
      </c>
      <c r="D44">
        <v>0</v>
      </c>
      <c r="E44">
        <v>0</v>
      </c>
      <c r="F44">
        <v>0</v>
      </c>
      <c r="G44">
        <v>1</v>
      </c>
      <c r="H44">
        <v>67</v>
      </c>
      <c r="I44">
        <v>180</v>
      </c>
      <c r="J44">
        <f t="shared" si="2"/>
        <v>28.188906215192695</v>
      </c>
      <c r="K44">
        <v>20</v>
      </c>
      <c r="L44">
        <v>1</v>
      </c>
      <c r="M44" t="s">
        <v>0</v>
      </c>
      <c r="N44">
        <v>16</v>
      </c>
      <c r="O44" s="6"/>
      <c r="P44">
        <v>1</v>
      </c>
      <c r="Q44">
        <v>0</v>
      </c>
      <c r="R44" s="2">
        <v>0</v>
      </c>
      <c r="S44">
        <v>51</v>
      </c>
      <c r="T44">
        <v>0</v>
      </c>
      <c r="U44">
        <v>0</v>
      </c>
      <c r="V44">
        <v>1</v>
      </c>
      <c r="W44">
        <v>1</v>
      </c>
      <c r="X44">
        <v>6</v>
      </c>
      <c r="Y44">
        <v>5.6</v>
      </c>
      <c r="Z44" s="31">
        <v>6.1</v>
      </c>
      <c r="AA44" s="31">
        <v>5.5</v>
      </c>
      <c r="AB44" s="40">
        <v>5.8</v>
      </c>
      <c r="AC44" s="3"/>
      <c r="AD44" s="3"/>
      <c r="AE44" s="3"/>
      <c r="AF44" s="3"/>
      <c r="AG44" s="3"/>
      <c r="AH44" s="3"/>
      <c r="AI44" s="33"/>
      <c r="AJ44" s="33"/>
      <c r="AK44" s="40" t="e">
        <v>#DIV/0!</v>
      </c>
      <c r="AL44" s="3"/>
      <c r="AM44" s="3"/>
      <c r="AN44" s="3"/>
      <c r="AO44" s="3"/>
      <c r="AP44" s="3"/>
      <c r="AQ44" s="3"/>
      <c r="AR44" s="33"/>
      <c r="AS44" s="33"/>
      <c r="AT44" s="39" t="e">
        <v>#DIV/0!</v>
      </c>
      <c r="AU44" s="1">
        <v>0</v>
      </c>
      <c r="AV44" s="1">
        <v>0</v>
      </c>
      <c r="AW44">
        <v>0</v>
      </c>
      <c r="AX44">
        <v>0</v>
      </c>
      <c r="AY44">
        <v>0</v>
      </c>
      <c r="AZ44" s="3">
        <f t="shared" si="3"/>
        <v>51</v>
      </c>
      <c r="BA44" s="3">
        <f t="shared" si="4"/>
        <v>51</v>
      </c>
      <c r="BD44" s="1">
        <v>5.0999999999999996</v>
      </c>
      <c r="BE44" s="31">
        <v>5.5</v>
      </c>
      <c r="BF44">
        <v>5.0999999999999996</v>
      </c>
      <c r="BG44">
        <v>4.5</v>
      </c>
    </row>
    <row r="45" spans="1:96" x14ac:dyDescent="0.2">
      <c r="A45" t="s">
        <v>26</v>
      </c>
      <c r="B45">
        <v>22</v>
      </c>
      <c r="C45" s="2">
        <v>2</v>
      </c>
      <c r="D45">
        <v>0</v>
      </c>
      <c r="E45">
        <v>0</v>
      </c>
      <c r="F45">
        <v>1</v>
      </c>
      <c r="G45">
        <v>1</v>
      </c>
      <c r="H45">
        <v>67</v>
      </c>
      <c r="I45">
        <v>180</v>
      </c>
      <c r="J45">
        <f t="shared" si="2"/>
        <v>28.188906215192695</v>
      </c>
      <c r="K45">
        <v>20</v>
      </c>
      <c r="L45">
        <v>1</v>
      </c>
      <c r="M45" t="s">
        <v>0</v>
      </c>
      <c r="N45">
        <v>16</v>
      </c>
      <c r="O45" s="6"/>
      <c r="P45">
        <v>1</v>
      </c>
      <c r="Q45">
        <v>0</v>
      </c>
      <c r="R45" s="2">
        <v>0</v>
      </c>
      <c r="S45">
        <v>39</v>
      </c>
      <c r="T45">
        <v>0</v>
      </c>
      <c r="U45">
        <v>0</v>
      </c>
      <c r="V45">
        <v>1</v>
      </c>
      <c r="W45">
        <v>0</v>
      </c>
      <c r="X45">
        <v>4.5999999999999996</v>
      </c>
      <c r="Y45">
        <v>4.7</v>
      </c>
      <c r="Z45" s="31">
        <v>4.5999999999999996</v>
      </c>
      <c r="AA45" s="31">
        <v>4.9000000000000004</v>
      </c>
      <c r="AB45" s="40">
        <v>4.7</v>
      </c>
      <c r="AC45" s="3"/>
      <c r="AD45" s="3"/>
      <c r="AE45" s="3"/>
      <c r="AF45" s="3"/>
      <c r="AG45" s="3"/>
      <c r="AH45" s="3"/>
      <c r="AI45" s="33"/>
      <c r="AJ45" s="33"/>
      <c r="AK45" s="40" t="e">
        <v>#DIV/0!</v>
      </c>
      <c r="AL45" s="3"/>
      <c r="AM45" s="3"/>
      <c r="AN45" s="3"/>
      <c r="AO45" s="3"/>
      <c r="AP45" s="3"/>
      <c r="AQ45" s="3"/>
      <c r="AR45" s="33"/>
      <c r="AS45" s="33"/>
      <c r="AT45" s="39" t="e">
        <v>#DIV/0!</v>
      </c>
      <c r="AU45" s="1">
        <v>0</v>
      </c>
      <c r="AV45" s="1">
        <v>0</v>
      </c>
      <c r="AW45">
        <v>0</v>
      </c>
      <c r="AX45">
        <v>0</v>
      </c>
      <c r="AY45">
        <v>0</v>
      </c>
      <c r="AZ45" s="3">
        <f t="shared" si="3"/>
        <v>39</v>
      </c>
      <c r="BA45" s="3">
        <f t="shared" si="4"/>
        <v>39</v>
      </c>
      <c r="BD45" s="1">
        <v>4.7</v>
      </c>
      <c r="BE45" s="31">
        <v>4.9000000000000004</v>
      </c>
      <c r="BF45">
        <v>4.7</v>
      </c>
      <c r="BG45">
        <v>4.5999999999999996</v>
      </c>
    </row>
    <row r="46" spans="1:96" x14ac:dyDescent="0.2">
      <c r="A46" t="s">
        <v>25</v>
      </c>
      <c r="B46">
        <v>23</v>
      </c>
      <c r="C46" s="2">
        <v>2</v>
      </c>
      <c r="D46">
        <v>0</v>
      </c>
      <c r="E46">
        <v>0</v>
      </c>
      <c r="F46">
        <v>1</v>
      </c>
      <c r="G46">
        <v>1</v>
      </c>
      <c r="H46">
        <v>74</v>
      </c>
      <c r="I46">
        <v>200</v>
      </c>
      <c r="J46">
        <f t="shared" si="2"/>
        <v>25.675675675675674</v>
      </c>
      <c r="K46">
        <v>21</v>
      </c>
      <c r="L46">
        <v>1</v>
      </c>
      <c r="M46" t="s">
        <v>5</v>
      </c>
      <c r="N46">
        <v>8</v>
      </c>
      <c r="O46">
        <v>8</v>
      </c>
      <c r="P46">
        <v>0</v>
      </c>
      <c r="Q46">
        <v>0</v>
      </c>
      <c r="R46" s="2">
        <v>0</v>
      </c>
      <c r="S46">
        <v>54</v>
      </c>
      <c r="T46">
        <v>0</v>
      </c>
      <c r="U46">
        <v>0</v>
      </c>
      <c r="V46">
        <v>1</v>
      </c>
      <c r="W46">
        <v>0</v>
      </c>
      <c r="X46">
        <v>3.7</v>
      </c>
      <c r="Y46">
        <v>3.8</v>
      </c>
      <c r="Z46" s="31">
        <v>3.7</v>
      </c>
      <c r="AA46" s="31">
        <v>4</v>
      </c>
      <c r="AB46" s="40">
        <v>3.8</v>
      </c>
      <c r="AC46" s="3"/>
      <c r="AD46" s="3"/>
      <c r="AE46" s="3"/>
      <c r="AF46" s="3"/>
      <c r="AG46" s="3"/>
      <c r="AH46" s="3"/>
      <c r="AI46" s="33"/>
      <c r="AJ46" s="33"/>
      <c r="AK46" s="40" t="e">
        <v>#DIV/0!</v>
      </c>
      <c r="AL46" s="3"/>
      <c r="AM46" s="3"/>
      <c r="AN46" s="3"/>
      <c r="AO46" s="3"/>
      <c r="AP46" s="3"/>
      <c r="AQ46" s="3"/>
      <c r="AR46" s="33"/>
      <c r="AS46" s="33"/>
      <c r="AT46" s="39" t="e">
        <v>#DIV/0!</v>
      </c>
      <c r="AU46" s="1">
        <v>0</v>
      </c>
      <c r="AV46" s="1">
        <v>0</v>
      </c>
      <c r="AW46">
        <v>0</v>
      </c>
      <c r="AX46">
        <v>0</v>
      </c>
      <c r="AY46">
        <v>0</v>
      </c>
      <c r="AZ46" s="3">
        <f t="shared" si="3"/>
        <v>54</v>
      </c>
      <c r="BA46" s="3">
        <f t="shared" si="4"/>
        <v>54</v>
      </c>
      <c r="BD46" s="1">
        <v>4.0999999999999996</v>
      </c>
      <c r="BE46" s="31">
        <v>3.8</v>
      </c>
      <c r="BF46">
        <v>4.0999999999999996</v>
      </c>
      <c r="BG46">
        <v>4</v>
      </c>
    </row>
    <row r="47" spans="1:96" x14ac:dyDescent="0.2">
      <c r="A47" t="s">
        <v>24</v>
      </c>
      <c r="B47">
        <v>23</v>
      </c>
      <c r="C47" s="2">
        <v>2</v>
      </c>
      <c r="D47">
        <v>0</v>
      </c>
      <c r="E47">
        <v>0</v>
      </c>
      <c r="F47">
        <v>1</v>
      </c>
      <c r="G47">
        <v>1</v>
      </c>
      <c r="H47">
        <v>74</v>
      </c>
      <c r="I47">
        <v>200</v>
      </c>
      <c r="J47">
        <f t="shared" si="2"/>
        <v>25.675675675675674</v>
      </c>
      <c r="K47">
        <v>21</v>
      </c>
      <c r="L47">
        <v>1</v>
      </c>
      <c r="M47" t="s">
        <v>5</v>
      </c>
      <c r="N47">
        <v>8</v>
      </c>
      <c r="O47">
        <v>8</v>
      </c>
      <c r="P47">
        <v>0</v>
      </c>
      <c r="Q47">
        <v>0</v>
      </c>
      <c r="R47" s="2">
        <v>0</v>
      </c>
      <c r="S47">
        <v>95</v>
      </c>
      <c r="T47">
        <v>0</v>
      </c>
      <c r="U47">
        <v>0</v>
      </c>
      <c r="V47">
        <v>0</v>
      </c>
      <c r="W47">
        <v>0</v>
      </c>
      <c r="X47">
        <v>4.3</v>
      </c>
      <c r="Y47">
        <v>4.2</v>
      </c>
      <c r="Z47" s="31">
        <v>4.3</v>
      </c>
      <c r="AA47" s="31">
        <v>4.2</v>
      </c>
      <c r="AB47" s="40">
        <v>4.25</v>
      </c>
      <c r="AC47" s="3"/>
      <c r="AD47" s="3"/>
      <c r="AE47" s="3"/>
      <c r="AF47" s="3"/>
      <c r="AG47" s="3"/>
      <c r="AH47" s="3"/>
      <c r="AI47" s="33"/>
      <c r="AJ47" s="33"/>
      <c r="AK47" s="40" t="e">
        <v>#DIV/0!</v>
      </c>
      <c r="AL47" s="3"/>
      <c r="AM47" s="3"/>
      <c r="AN47" s="3"/>
      <c r="AO47" s="3"/>
      <c r="AP47" s="3"/>
      <c r="AQ47" s="3"/>
      <c r="AR47" s="33"/>
      <c r="AS47" s="33"/>
      <c r="AT47" s="39" t="e">
        <v>#DIV/0!</v>
      </c>
      <c r="AU47" s="1">
        <v>0</v>
      </c>
      <c r="AV47" s="1">
        <v>0</v>
      </c>
      <c r="AW47">
        <v>0</v>
      </c>
      <c r="AX47">
        <v>0</v>
      </c>
      <c r="AY47">
        <v>0</v>
      </c>
      <c r="AZ47" s="3">
        <f t="shared" si="3"/>
        <v>95</v>
      </c>
      <c r="BA47" s="3">
        <f t="shared" si="4"/>
        <v>95</v>
      </c>
      <c r="BD47" s="1">
        <v>3.3</v>
      </c>
      <c r="BE47" s="31">
        <v>3.2</v>
      </c>
      <c r="BF47">
        <v>3.3</v>
      </c>
      <c r="BG47">
        <v>3.3</v>
      </c>
    </row>
    <row r="48" spans="1:96" x14ac:dyDescent="0.2">
      <c r="A48" t="s">
        <v>23</v>
      </c>
      <c r="B48">
        <v>24</v>
      </c>
      <c r="C48" s="2">
        <v>2</v>
      </c>
      <c r="D48">
        <v>1</v>
      </c>
      <c r="E48">
        <v>0</v>
      </c>
      <c r="F48">
        <v>1</v>
      </c>
      <c r="G48">
        <v>1</v>
      </c>
      <c r="H48">
        <v>75</v>
      </c>
      <c r="I48">
        <v>190</v>
      </c>
      <c r="J48">
        <f t="shared" si="2"/>
        <v>23.745777777777775</v>
      </c>
      <c r="K48">
        <v>21</v>
      </c>
      <c r="L48">
        <v>1</v>
      </c>
      <c r="M48" t="s">
        <v>5</v>
      </c>
      <c r="N48" s="6"/>
      <c r="O48" s="6"/>
      <c r="P48">
        <v>0</v>
      </c>
      <c r="Q48">
        <v>0</v>
      </c>
      <c r="R48" s="2">
        <v>0</v>
      </c>
      <c r="S48">
        <v>67</v>
      </c>
      <c r="T48">
        <v>0</v>
      </c>
      <c r="U48">
        <v>0</v>
      </c>
      <c r="V48">
        <v>1</v>
      </c>
      <c r="W48">
        <v>0</v>
      </c>
      <c r="X48">
        <v>5.0999999999999996</v>
      </c>
      <c r="Y48">
        <v>4.5</v>
      </c>
      <c r="Z48" s="31">
        <v>5.5</v>
      </c>
      <c r="AA48" s="31">
        <v>4.5999999999999996</v>
      </c>
      <c r="AB48" s="40">
        <v>4.9249999999999998</v>
      </c>
      <c r="AC48">
        <v>88</v>
      </c>
      <c r="AD48">
        <v>0</v>
      </c>
      <c r="AE48">
        <v>0</v>
      </c>
      <c r="AF48">
        <v>0</v>
      </c>
      <c r="AG48">
        <v>6.1</v>
      </c>
      <c r="AH48">
        <v>6.6</v>
      </c>
      <c r="AI48" s="31">
        <v>6.2</v>
      </c>
      <c r="AJ48" s="31">
        <v>6.8</v>
      </c>
      <c r="AK48" s="40">
        <v>6.4249999999999998</v>
      </c>
      <c r="AL48">
        <v>84</v>
      </c>
      <c r="AM48">
        <v>0</v>
      </c>
      <c r="AN48">
        <v>0</v>
      </c>
      <c r="AO48">
        <v>0</v>
      </c>
      <c r="AP48">
        <v>6.1</v>
      </c>
      <c r="AQ48">
        <v>5.8</v>
      </c>
      <c r="AR48" s="31">
        <v>5.6</v>
      </c>
      <c r="AS48" s="31">
        <v>5.7</v>
      </c>
      <c r="AT48" s="39">
        <v>5.8</v>
      </c>
      <c r="AU48" s="1">
        <v>0</v>
      </c>
      <c r="AV48" s="1">
        <v>0</v>
      </c>
      <c r="AW48">
        <v>0</v>
      </c>
      <c r="AX48">
        <v>0</v>
      </c>
      <c r="AY48">
        <v>0</v>
      </c>
      <c r="AZ48">
        <f t="shared" si="3"/>
        <v>-21</v>
      </c>
      <c r="BA48">
        <f t="shared" si="4"/>
        <v>-17</v>
      </c>
      <c r="BB48">
        <v>0</v>
      </c>
      <c r="BC48">
        <v>0</v>
      </c>
      <c r="BD48" s="1">
        <v>4</v>
      </c>
      <c r="BE48" s="31">
        <v>4.5999999999999996</v>
      </c>
      <c r="BF48">
        <v>4</v>
      </c>
      <c r="BG48">
        <v>3.6</v>
      </c>
    </row>
    <row r="49" spans="1:59" x14ac:dyDescent="0.2">
      <c r="A49" t="s">
        <v>22</v>
      </c>
      <c r="B49">
        <v>24</v>
      </c>
      <c r="C49" s="2">
        <v>2</v>
      </c>
      <c r="D49">
        <v>1</v>
      </c>
      <c r="E49">
        <v>0</v>
      </c>
      <c r="F49">
        <v>1</v>
      </c>
      <c r="G49">
        <v>1</v>
      </c>
      <c r="H49">
        <v>75</v>
      </c>
      <c r="I49">
        <v>190</v>
      </c>
      <c r="J49">
        <f t="shared" si="2"/>
        <v>23.745777777777775</v>
      </c>
      <c r="K49">
        <v>21</v>
      </c>
      <c r="L49">
        <v>1</v>
      </c>
      <c r="M49" t="s">
        <v>5</v>
      </c>
      <c r="N49" s="6"/>
      <c r="O49" s="6"/>
      <c r="P49">
        <v>0</v>
      </c>
      <c r="Q49">
        <v>0</v>
      </c>
      <c r="R49" s="2">
        <v>0</v>
      </c>
      <c r="S49">
        <v>78</v>
      </c>
      <c r="T49">
        <v>0</v>
      </c>
      <c r="U49">
        <v>0</v>
      </c>
      <c r="V49">
        <v>1</v>
      </c>
      <c r="W49">
        <v>0</v>
      </c>
      <c r="X49">
        <v>4.7</v>
      </c>
      <c r="Y49">
        <v>4.5999999999999996</v>
      </c>
      <c r="Z49" s="31">
        <v>4.9000000000000004</v>
      </c>
      <c r="AA49" s="31">
        <v>5</v>
      </c>
      <c r="AB49" s="40">
        <v>4.8000000000000007</v>
      </c>
      <c r="AC49">
        <v>96</v>
      </c>
      <c r="AD49">
        <v>0</v>
      </c>
      <c r="AE49">
        <v>0</v>
      </c>
      <c r="AF49">
        <v>0</v>
      </c>
      <c r="AG49">
        <v>6</v>
      </c>
      <c r="AH49">
        <v>5.4</v>
      </c>
      <c r="AI49" s="31">
        <v>6.1</v>
      </c>
      <c r="AJ49" s="31">
        <v>5.3</v>
      </c>
      <c r="AK49" s="40">
        <v>5.7</v>
      </c>
      <c r="AL49">
        <v>97</v>
      </c>
      <c r="AM49">
        <v>0</v>
      </c>
      <c r="AN49">
        <v>0</v>
      </c>
      <c r="AO49">
        <v>1</v>
      </c>
      <c r="AP49">
        <v>6.4</v>
      </c>
      <c r="AQ49">
        <v>6.2</v>
      </c>
      <c r="AR49" s="31">
        <v>6.2</v>
      </c>
      <c r="AS49" s="31">
        <v>6.3</v>
      </c>
      <c r="AT49" s="39">
        <v>6.2750000000000004</v>
      </c>
      <c r="AU49" s="1">
        <v>0</v>
      </c>
      <c r="AV49" s="1">
        <v>0</v>
      </c>
      <c r="AW49">
        <v>0</v>
      </c>
      <c r="AX49">
        <v>0</v>
      </c>
      <c r="AY49">
        <v>0</v>
      </c>
      <c r="AZ49">
        <f t="shared" si="3"/>
        <v>-18</v>
      </c>
      <c r="BA49">
        <f t="shared" si="4"/>
        <v>-19</v>
      </c>
      <c r="BB49">
        <v>0</v>
      </c>
      <c r="BC49">
        <v>1</v>
      </c>
      <c r="BD49" s="1">
        <v>4.3</v>
      </c>
      <c r="BE49" s="31">
        <v>4.4000000000000004</v>
      </c>
      <c r="BF49">
        <v>4.3</v>
      </c>
      <c r="BG49">
        <v>4.5</v>
      </c>
    </row>
    <row r="50" spans="1:59" x14ac:dyDescent="0.2">
      <c r="A50" s="3" t="s">
        <v>21</v>
      </c>
      <c r="B50" s="3">
        <v>25</v>
      </c>
      <c r="C50" s="2">
        <v>2</v>
      </c>
      <c r="D50">
        <v>0</v>
      </c>
      <c r="E50">
        <v>0</v>
      </c>
      <c r="F50">
        <v>0</v>
      </c>
      <c r="G50" s="3">
        <v>1</v>
      </c>
      <c r="H50" s="3">
        <v>76</v>
      </c>
      <c r="I50" s="3">
        <v>190</v>
      </c>
      <c r="J50">
        <f t="shared" si="2"/>
        <v>23.125</v>
      </c>
      <c r="K50" s="3">
        <v>18</v>
      </c>
      <c r="L50" s="3">
        <v>1</v>
      </c>
      <c r="M50" s="3" t="s">
        <v>0</v>
      </c>
      <c r="N50" s="3">
        <v>10</v>
      </c>
      <c r="O50" s="3">
        <v>2</v>
      </c>
      <c r="P50" s="3">
        <v>0</v>
      </c>
      <c r="Q50" s="3">
        <v>0</v>
      </c>
      <c r="R50" s="13">
        <v>0</v>
      </c>
      <c r="S50" s="3"/>
      <c r="T50" s="3"/>
      <c r="U50" s="3"/>
      <c r="V50" s="3"/>
      <c r="W50" s="3"/>
      <c r="X50" s="3"/>
      <c r="Y50" s="3"/>
      <c r="Z50" s="33"/>
      <c r="AA50" s="33"/>
      <c r="AB50" s="40" t="e">
        <f>AVERAGE(X50:AA50)</f>
        <v>#DIV/0!</v>
      </c>
      <c r="AC50">
        <v>85</v>
      </c>
      <c r="AD50">
        <v>0</v>
      </c>
      <c r="AE50">
        <v>0</v>
      </c>
      <c r="AF50">
        <v>0</v>
      </c>
      <c r="AG50">
        <v>4.5999999999999996</v>
      </c>
      <c r="AH50">
        <v>4.7</v>
      </c>
      <c r="AI50" s="31">
        <v>4.4000000000000004</v>
      </c>
      <c r="AJ50" s="31">
        <v>4.5999999999999996</v>
      </c>
      <c r="AK50" s="40">
        <v>4.5750000000000002</v>
      </c>
      <c r="AL50">
        <v>84</v>
      </c>
      <c r="AM50">
        <v>0</v>
      </c>
      <c r="AN50">
        <v>0</v>
      </c>
      <c r="AO50">
        <v>0</v>
      </c>
      <c r="AP50">
        <v>3.4</v>
      </c>
      <c r="AQ50">
        <v>4.0999999999999996</v>
      </c>
      <c r="AR50" s="31">
        <v>3.4</v>
      </c>
      <c r="AS50" s="31">
        <v>4.0999999999999996</v>
      </c>
      <c r="AT50" s="39">
        <v>3.75</v>
      </c>
      <c r="AU50" s="1">
        <v>0</v>
      </c>
      <c r="AV50" s="1">
        <v>0</v>
      </c>
      <c r="AW50">
        <v>0</v>
      </c>
      <c r="AX50">
        <v>0</v>
      </c>
      <c r="AY50">
        <v>0</v>
      </c>
      <c r="AZ50" s="3">
        <f t="shared" si="3"/>
        <v>-85</v>
      </c>
      <c r="BA50" s="3">
        <f t="shared" si="4"/>
        <v>-84</v>
      </c>
      <c r="BD50" s="1">
        <v>3.5</v>
      </c>
      <c r="BE50" s="31">
        <v>3.8</v>
      </c>
      <c r="BF50">
        <v>3.5</v>
      </c>
      <c r="BG50">
        <v>3.6</v>
      </c>
    </row>
    <row r="51" spans="1:59" x14ac:dyDescent="0.2">
      <c r="A51" s="3" t="s">
        <v>20</v>
      </c>
      <c r="B51" s="3">
        <v>25</v>
      </c>
      <c r="C51" s="2">
        <v>2</v>
      </c>
      <c r="D51">
        <v>0</v>
      </c>
      <c r="E51">
        <v>0</v>
      </c>
      <c r="F51">
        <v>0</v>
      </c>
      <c r="G51" s="3">
        <v>1</v>
      </c>
      <c r="H51" s="3">
        <v>76</v>
      </c>
      <c r="I51" s="3">
        <v>190</v>
      </c>
      <c r="J51">
        <f t="shared" si="2"/>
        <v>23.125</v>
      </c>
      <c r="K51" s="3">
        <v>18</v>
      </c>
      <c r="L51" s="3">
        <v>1</v>
      </c>
      <c r="M51" s="3" t="s">
        <v>0</v>
      </c>
      <c r="N51" s="3">
        <v>10</v>
      </c>
      <c r="O51" s="3">
        <v>2</v>
      </c>
      <c r="P51" s="3">
        <v>0</v>
      </c>
      <c r="Q51" s="3">
        <v>0</v>
      </c>
      <c r="R51" s="13">
        <v>1</v>
      </c>
      <c r="S51" s="3"/>
      <c r="T51" s="3"/>
      <c r="U51" s="3"/>
      <c r="V51" s="3"/>
      <c r="W51" s="3"/>
      <c r="X51" s="3"/>
      <c r="Y51" s="3"/>
      <c r="Z51" s="33"/>
      <c r="AA51" s="33"/>
      <c r="AB51" s="40" t="e">
        <f>AVERAGE(X51:AA51)</f>
        <v>#DIV/0!</v>
      </c>
      <c r="AC51">
        <v>88</v>
      </c>
      <c r="AD51">
        <v>0</v>
      </c>
      <c r="AE51">
        <v>1</v>
      </c>
      <c r="AF51">
        <v>0</v>
      </c>
      <c r="AG51">
        <v>4.4000000000000004</v>
      </c>
      <c r="AH51">
        <v>4.5</v>
      </c>
      <c r="AI51" s="31">
        <v>4.3</v>
      </c>
      <c r="AJ51" s="31">
        <v>4.4000000000000004</v>
      </c>
      <c r="AK51" s="40">
        <v>4.4000000000000004</v>
      </c>
      <c r="AL51">
        <v>83</v>
      </c>
      <c r="AM51">
        <v>0</v>
      </c>
      <c r="AN51">
        <v>1</v>
      </c>
      <c r="AO51">
        <v>1</v>
      </c>
      <c r="AP51" s="7">
        <v>5.2</v>
      </c>
      <c r="AQ51" s="7">
        <v>5.6</v>
      </c>
      <c r="AR51" s="31">
        <v>5.0999999999999996</v>
      </c>
      <c r="AS51" s="31">
        <v>5.9</v>
      </c>
      <c r="AT51" s="39">
        <v>5.45</v>
      </c>
      <c r="AU51" s="1">
        <v>0</v>
      </c>
      <c r="AV51" s="1">
        <v>0</v>
      </c>
      <c r="AW51">
        <v>0</v>
      </c>
      <c r="AX51">
        <v>0</v>
      </c>
      <c r="AY51">
        <v>0</v>
      </c>
      <c r="AZ51" s="3">
        <f t="shared" si="3"/>
        <v>-88</v>
      </c>
      <c r="BA51" s="3">
        <f t="shared" si="4"/>
        <v>-83</v>
      </c>
      <c r="BD51" s="1">
        <v>3.6</v>
      </c>
      <c r="BE51" s="31">
        <v>3.6</v>
      </c>
      <c r="BF51">
        <v>3.6</v>
      </c>
      <c r="BG51">
        <v>3.7</v>
      </c>
    </row>
    <row r="52" spans="1:59" x14ac:dyDescent="0.2">
      <c r="A52" t="s">
        <v>19</v>
      </c>
      <c r="B52">
        <v>26</v>
      </c>
      <c r="C52" s="2">
        <v>2</v>
      </c>
      <c r="D52">
        <v>1</v>
      </c>
      <c r="E52">
        <v>1</v>
      </c>
      <c r="F52">
        <v>1</v>
      </c>
      <c r="G52">
        <v>1</v>
      </c>
      <c r="H52">
        <v>68</v>
      </c>
      <c r="I52">
        <v>154</v>
      </c>
      <c r="J52">
        <f t="shared" si="2"/>
        <v>23.413062283737023</v>
      </c>
      <c r="K52">
        <v>20</v>
      </c>
      <c r="L52">
        <v>1</v>
      </c>
      <c r="M52" t="s">
        <v>15</v>
      </c>
      <c r="N52">
        <v>15</v>
      </c>
      <c r="O52">
        <v>2</v>
      </c>
      <c r="P52">
        <v>0</v>
      </c>
      <c r="Q52">
        <v>0</v>
      </c>
      <c r="R52" s="2">
        <v>0</v>
      </c>
      <c r="S52">
        <v>98</v>
      </c>
      <c r="T52">
        <v>0</v>
      </c>
      <c r="U52">
        <v>0</v>
      </c>
      <c r="V52">
        <v>0</v>
      </c>
      <c r="W52">
        <v>0</v>
      </c>
      <c r="X52">
        <v>4.0999999999999996</v>
      </c>
      <c r="Y52">
        <v>4</v>
      </c>
      <c r="Z52" s="31">
        <v>3.8</v>
      </c>
      <c r="AA52" s="31">
        <v>3.7</v>
      </c>
      <c r="AB52" s="40">
        <v>3.8999999999999995</v>
      </c>
      <c r="AC52">
        <v>100</v>
      </c>
      <c r="AD52">
        <v>0</v>
      </c>
      <c r="AE52">
        <v>0</v>
      </c>
      <c r="AF52">
        <v>0</v>
      </c>
      <c r="AG52">
        <v>4.5</v>
      </c>
      <c r="AH52">
        <v>4.4000000000000004</v>
      </c>
      <c r="AI52" s="31">
        <v>4.0999999999999996</v>
      </c>
      <c r="AJ52" s="31">
        <v>4.5999999999999996</v>
      </c>
      <c r="AK52" s="40">
        <v>4.4000000000000004</v>
      </c>
      <c r="AL52">
        <v>100</v>
      </c>
      <c r="AM52">
        <v>0</v>
      </c>
      <c r="AN52">
        <v>0</v>
      </c>
      <c r="AO52">
        <v>0</v>
      </c>
      <c r="AP52">
        <v>4.0999999999999996</v>
      </c>
      <c r="AQ52">
        <v>4.4000000000000004</v>
      </c>
      <c r="AR52" s="31">
        <v>3.9</v>
      </c>
      <c r="AS52" s="31">
        <v>4.5999999999999996</v>
      </c>
      <c r="AT52" s="39">
        <v>4.25</v>
      </c>
      <c r="AU52" s="1">
        <v>0</v>
      </c>
      <c r="AV52" s="1">
        <v>0</v>
      </c>
      <c r="AW52">
        <v>0</v>
      </c>
      <c r="AX52">
        <v>0</v>
      </c>
      <c r="AY52">
        <v>0</v>
      </c>
      <c r="AZ52">
        <f t="shared" si="3"/>
        <v>-2</v>
      </c>
      <c r="BA52">
        <f t="shared" si="4"/>
        <v>-2</v>
      </c>
      <c r="BB52">
        <v>0</v>
      </c>
      <c r="BC52">
        <v>0</v>
      </c>
      <c r="BD52" s="36">
        <v>5.8</v>
      </c>
      <c r="BE52" s="31">
        <v>5.8</v>
      </c>
      <c r="BF52" s="26">
        <v>5.8</v>
      </c>
      <c r="BG52" s="26">
        <v>6.1</v>
      </c>
    </row>
    <row r="53" spans="1:59" x14ac:dyDescent="0.2">
      <c r="A53" t="s">
        <v>18</v>
      </c>
      <c r="B53">
        <v>26</v>
      </c>
      <c r="C53" s="2">
        <v>2</v>
      </c>
      <c r="D53">
        <v>1</v>
      </c>
      <c r="E53">
        <v>1</v>
      </c>
      <c r="F53">
        <v>1</v>
      </c>
      <c r="G53">
        <v>1</v>
      </c>
      <c r="H53">
        <v>68</v>
      </c>
      <c r="I53">
        <v>154</v>
      </c>
      <c r="J53">
        <f t="shared" si="2"/>
        <v>23.413062283737023</v>
      </c>
      <c r="K53">
        <v>20</v>
      </c>
      <c r="L53">
        <v>1</v>
      </c>
      <c r="M53" t="s">
        <v>15</v>
      </c>
      <c r="N53">
        <v>15</v>
      </c>
      <c r="O53">
        <v>2</v>
      </c>
      <c r="P53">
        <v>0</v>
      </c>
      <c r="Q53">
        <v>0</v>
      </c>
      <c r="R53" s="2">
        <v>0</v>
      </c>
      <c r="S53">
        <v>98</v>
      </c>
      <c r="T53">
        <v>0</v>
      </c>
      <c r="U53">
        <v>0</v>
      </c>
      <c r="V53">
        <v>0</v>
      </c>
      <c r="W53">
        <v>0</v>
      </c>
      <c r="X53">
        <v>3.3</v>
      </c>
      <c r="Y53">
        <v>3.3</v>
      </c>
      <c r="Z53" s="31">
        <v>3.2</v>
      </c>
      <c r="AA53" s="31">
        <v>3.3</v>
      </c>
      <c r="AB53" s="40">
        <v>3.2750000000000004</v>
      </c>
      <c r="AC53">
        <v>100</v>
      </c>
      <c r="AD53">
        <v>0</v>
      </c>
      <c r="AE53">
        <v>0</v>
      </c>
      <c r="AF53">
        <v>0</v>
      </c>
      <c r="AG53">
        <v>3.7</v>
      </c>
      <c r="AH53">
        <v>4</v>
      </c>
      <c r="AI53" s="31">
        <v>3.9</v>
      </c>
      <c r="AJ53" s="31">
        <v>4.3</v>
      </c>
      <c r="AK53" s="40">
        <v>3.9749999999999996</v>
      </c>
      <c r="AL53">
        <v>100</v>
      </c>
      <c r="AM53">
        <v>0</v>
      </c>
      <c r="AN53">
        <v>0</v>
      </c>
      <c r="AO53">
        <v>0</v>
      </c>
      <c r="AP53">
        <v>4</v>
      </c>
      <c r="AQ53">
        <v>4</v>
      </c>
      <c r="AR53" s="31">
        <v>3.8</v>
      </c>
      <c r="AS53" s="31">
        <v>3.9</v>
      </c>
      <c r="AT53" s="39">
        <v>3.9250000000000003</v>
      </c>
      <c r="AU53" s="1">
        <v>0</v>
      </c>
      <c r="AV53" s="1">
        <v>0</v>
      </c>
      <c r="AW53">
        <v>0</v>
      </c>
      <c r="AX53">
        <v>0</v>
      </c>
      <c r="AY53">
        <v>0</v>
      </c>
      <c r="AZ53">
        <f t="shared" si="3"/>
        <v>-2</v>
      </c>
      <c r="BA53">
        <f t="shared" si="4"/>
        <v>-2</v>
      </c>
      <c r="BB53">
        <v>0</v>
      </c>
      <c r="BC53">
        <v>0</v>
      </c>
      <c r="BD53" s="36">
        <v>5.7</v>
      </c>
      <c r="BE53" s="31">
        <v>5.5</v>
      </c>
      <c r="BF53" s="26">
        <v>5.7</v>
      </c>
      <c r="BG53" s="26">
        <v>5.8</v>
      </c>
    </row>
    <row r="54" spans="1:59" x14ac:dyDescent="0.2">
      <c r="A54" t="s">
        <v>17</v>
      </c>
      <c r="B54">
        <v>27</v>
      </c>
      <c r="C54" s="2">
        <v>2</v>
      </c>
      <c r="D54">
        <v>1</v>
      </c>
      <c r="E54">
        <v>1</v>
      </c>
      <c r="F54">
        <v>1</v>
      </c>
      <c r="G54">
        <v>1</v>
      </c>
      <c r="H54">
        <v>82</v>
      </c>
      <c r="I54">
        <v>222</v>
      </c>
      <c r="J54">
        <f t="shared" si="2"/>
        <v>23.210291493158831</v>
      </c>
      <c r="K54">
        <v>21</v>
      </c>
      <c r="L54">
        <v>2</v>
      </c>
      <c r="M54" t="s">
        <v>15</v>
      </c>
      <c r="N54">
        <v>11</v>
      </c>
      <c r="O54" s="6"/>
      <c r="P54">
        <v>0</v>
      </c>
      <c r="Q54">
        <v>0</v>
      </c>
      <c r="R54" s="2">
        <v>0</v>
      </c>
      <c r="S54">
        <v>100</v>
      </c>
      <c r="T54">
        <v>0</v>
      </c>
      <c r="U54">
        <v>0</v>
      </c>
      <c r="V54">
        <v>0</v>
      </c>
      <c r="W54">
        <v>0</v>
      </c>
      <c r="X54">
        <v>4</v>
      </c>
      <c r="Y54">
        <v>3.6</v>
      </c>
      <c r="Z54" s="31">
        <v>4.5999999999999996</v>
      </c>
      <c r="AA54" s="31">
        <v>3.5</v>
      </c>
      <c r="AB54" s="40">
        <v>3.9249999999999998</v>
      </c>
      <c r="AC54">
        <v>100</v>
      </c>
      <c r="AD54">
        <v>0</v>
      </c>
      <c r="AE54">
        <v>0</v>
      </c>
      <c r="AF54">
        <v>0</v>
      </c>
      <c r="AG54">
        <v>4</v>
      </c>
      <c r="AH54">
        <v>4</v>
      </c>
      <c r="AI54" s="31">
        <v>4.3</v>
      </c>
      <c r="AJ54" s="31">
        <v>4.5</v>
      </c>
      <c r="AK54" s="40">
        <v>4.2</v>
      </c>
      <c r="AL54">
        <v>99</v>
      </c>
      <c r="AM54">
        <v>0</v>
      </c>
      <c r="AN54">
        <v>0</v>
      </c>
      <c r="AO54">
        <v>0</v>
      </c>
      <c r="AP54">
        <v>4</v>
      </c>
      <c r="AQ54">
        <v>4.7</v>
      </c>
      <c r="AR54" s="31">
        <v>3.8</v>
      </c>
      <c r="AS54" s="31">
        <v>4.5999999999999996</v>
      </c>
      <c r="AT54" s="39">
        <v>4.2750000000000004</v>
      </c>
      <c r="AU54" s="1">
        <v>0</v>
      </c>
      <c r="AV54" s="1">
        <v>0</v>
      </c>
      <c r="AW54">
        <v>0</v>
      </c>
      <c r="AX54">
        <v>0</v>
      </c>
      <c r="AY54">
        <v>0</v>
      </c>
      <c r="AZ54">
        <f t="shared" si="3"/>
        <v>0</v>
      </c>
      <c r="BA54">
        <f t="shared" si="4"/>
        <v>1</v>
      </c>
      <c r="BB54">
        <v>0</v>
      </c>
      <c r="BC54">
        <v>0</v>
      </c>
      <c r="BD54" s="1">
        <v>4.2</v>
      </c>
      <c r="BE54" s="31">
        <v>4.0999999999999996</v>
      </c>
      <c r="BF54">
        <v>4.2</v>
      </c>
      <c r="BG54">
        <v>4.4000000000000004</v>
      </c>
    </row>
    <row r="55" spans="1:59" x14ac:dyDescent="0.2">
      <c r="A55" t="s">
        <v>16</v>
      </c>
      <c r="B55">
        <v>27</v>
      </c>
      <c r="C55" s="2">
        <v>2</v>
      </c>
      <c r="D55">
        <v>1</v>
      </c>
      <c r="E55">
        <v>1</v>
      </c>
      <c r="F55">
        <v>1</v>
      </c>
      <c r="G55">
        <v>1</v>
      </c>
      <c r="H55">
        <v>82</v>
      </c>
      <c r="I55">
        <v>222</v>
      </c>
      <c r="J55">
        <f t="shared" si="2"/>
        <v>23.210291493158831</v>
      </c>
      <c r="K55">
        <v>21</v>
      </c>
      <c r="L55">
        <v>2</v>
      </c>
      <c r="M55" t="s">
        <v>15</v>
      </c>
      <c r="N55">
        <v>11</v>
      </c>
      <c r="O55" s="6"/>
      <c r="P55">
        <v>0</v>
      </c>
      <c r="Q55">
        <v>0</v>
      </c>
      <c r="R55" s="2">
        <v>0</v>
      </c>
      <c r="S55">
        <v>100</v>
      </c>
      <c r="T55">
        <v>0</v>
      </c>
      <c r="U55">
        <v>0</v>
      </c>
      <c r="V55">
        <v>0</v>
      </c>
      <c r="W55">
        <v>0</v>
      </c>
      <c r="X55">
        <v>4.3</v>
      </c>
      <c r="Y55">
        <v>4.5</v>
      </c>
      <c r="Z55" s="31">
        <v>4.4000000000000004</v>
      </c>
      <c r="AA55" s="31">
        <v>4.5999999999999996</v>
      </c>
      <c r="AB55" s="40">
        <v>4.45</v>
      </c>
      <c r="AC55">
        <v>100</v>
      </c>
      <c r="AD55">
        <v>0</v>
      </c>
      <c r="AE55">
        <v>0</v>
      </c>
      <c r="AF55">
        <v>0</v>
      </c>
      <c r="AG55">
        <v>4</v>
      </c>
      <c r="AH55">
        <v>4.5</v>
      </c>
      <c r="AI55" s="31">
        <v>4.4000000000000004</v>
      </c>
      <c r="AJ55" s="31">
        <v>5.2</v>
      </c>
      <c r="AK55" s="40">
        <v>4.5250000000000004</v>
      </c>
      <c r="AL55">
        <v>99</v>
      </c>
      <c r="AM55">
        <v>0</v>
      </c>
      <c r="AN55">
        <v>0</v>
      </c>
      <c r="AO55">
        <v>0</v>
      </c>
      <c r="AP55">
        <v>3.7</v>
      </c>
      <c r="AQ55">
        <v>4</v>
      </c>
      <c r="AR55" s="31">
        <v>3.7</v>
      </c>
      <c r="AS55" s="31">
        <v>3.5</v>
      </c>
      <c r="AT55" s="39">
        <v>3.7250000000000001</v>
      </c>
      <c r="AU55" s="1">
        <v>0</v>
      </c>
      <c r="AV55" s="1">
        <v>0</v>
      </c>
      <c r="AW55">
        <v>0</v>
      </c>
      <c r="AX55">
        <v>0</v>
      </c>
      <c r="AY55">
        <v>0</v>
      </c>
      <c r="AZ55">
        <f t="shared" si="3"/>
        <v>0</v>
      </c>
      <c r="BA55">
        <f t="shared" si="4"/>
        <v>1</v>
      </c>
      <c r="BB55">
        <v>0</v>
      </c>
      <c r="BC55">
        <v>0</v>
      </c>
      <c r="BD55" s="1">
        <v>7.3</v>
      </c>
      <c r="BE55" s="31">
        <v>7.2</v>
      </c>
      <c r="BF55">
        <v>7.3</v>
      </c>
      <c r="BG55">
        <v>7.5</v>
      </c>
    </row>
    <row r="56" spans="1:59" x14ac:dyDescent="0.2">
      <c r="A56" t="s">
        <v>14</v>
      </c>
      <c r="B56">
        <v>28</v>
      </c>
      <c r="C56" s="2">
        <v>2</v>
      </c>
      <c r="D56">
        <v>1</v>
      </c>
      <c r="E56">
        <v>1</v>
      </c>
      <c r="F56">
        <v>1</v>
      </c>
      <c r="G56">
        <v>1</v>
      </c>
      <c r="H56">
        <v>70</v>
      </c>
      <c r="I56">
        <v>170</v>
      </c>
      <c r="J56">
        <f t="shared" si="2"/>
        <v>24.389795918367348</v>
      </c>
      <c r="K56">
        <v>23</v>
      </c>
      <c r="L56">
        <v>1</v>
      </c>
      <c r="M56" t="s">
        <v>12</v>
      </c>
      <c r="N56">
        <v>15</v>
      </c>
      <c r="O56">
        <v>15</v>
      </c>
      <c r="P56">
        <v>1</v>
      </c>
      <c r="Q56">
        <v>0</v>
      </c>
      <c r="R56" s="2">
        <v>0</v>
      </c>
      <c r="S56">
        <v>100</v>
      </c>
      <c r="T56">
        <v>0</v>
      </c>
      <c r="U56">
        <v>0</v>
      </c>
      <c r="V56">
        <v>0</v>
      </c>
      <c r="W56">
        <v>0</v>
      </c>
      <c r="X56">
        <v>3.5</v>
      </c>
      <c r="Y56">
        <v>3.6</v>
      </c>
      <c r="Z56" s="31">
        <v>3.8</v>
      </c>
      <c r="AA56" s="31">
        <v>3.5</v>
      </c>
      <c r="AB56" s="40">
        <v>3.5999999999999996</v>
      </c>
      <c r="AC56">
        <v>76</v>
      </c>
      <c r="AD56">
        <v>1</v>
      </c>
      <c r="AE56">
        <v>0</v>
      </c>
      <c r="AF56">
        <v>1</v>
      </c>
      <c r="AG56">
        <v>3.7</v>
      </c>
      <c r="AH56">
        <v>3.8</v>
      </c>
      <c r="AI56" s="31">
        <v>3.7</v>
      </c>
      <c r="AJ56" s="31">
        <v>4.0999999999999996</v>
      </c>
      <c r="AK56" s="40">
        <v>3.8249999999999997</v>
      </c>
      <c r="AL56">
        <v>100</v>
      </c>
      <c r="AM56">
        <v>0</v>
      </c>
      <c r="AN56">
        <v>0</v>
      </c>
      <c r="AO56">
        <v>1</v>
      </c>
      <c r="AP56">
        <v>3.4</v>
      </c>
      <c r="AQ56">
        <v>3.5</v>
      </c>
      <c r="AR56" s="31">
        <v>3.4</v>
      </c>
      <c r="AS56" s="31">
        <v>3.4</v>
      </c>
      <c r="AT56" s="39">
        <v>3.4250000000000003</v>
      </c>
      <c r="AU56" s="1">
        <v>0</v>
      </c>
      <c r="AV56" s="1">
        <v>0</v>
      </c>
      <c r="AW56">
        <v>0</v>
      </c>
      <c r="AX56">
        <v>1</v>
      </c>
      <c r="AY56">
        <v>0</v>
      </c>
      <c r="AZ56">
        <f t="shared" si="3"/>
        <v>24</v>
      </c>
      <c r="BA56">
        <f t="shared" si="4"/>
        <v>0</v>
      </c>
      <c r="BB56">
        <v>1</v>
      </c>
      <c r="BC56">
        <v>1</v>
      </c>
      <c r="BD56" s="1">
        <v>4</v>
      </c>
      <c r="BE56" s="31">
        <v>4.2</v>
      </c>
      <c r="BF56">
        <v>4</v>
      </c>
      <c r="BG56">
        <v>4.2</v>
      </c>
    </row>
    <row r="57" spans="1:59" x14ac:dyDescent="0.2">
      <c r="A57" t="s">
        <v>13</v>
      </c>
      <c r="B57">
        <v>28</v>
      </c>
      <c r="C57" s="2">
        <v>2</v>
      </c>
      <c r="D57">
        <v>1</v>
      </c>
      <c r="E57">
        <v>1</v>
      </c>
      <c r="F57">
        <v>1</v>
      </c>
      <c r="G57">
        <v>1</v>
      </c>
      <c r="H57">
        <v>70</v>
      </c>
      <c r="I57">
        <v>170</v>
      </c>
      <c r="J57">
        <f t="shared" si="2"/>
        <v>24.389795918367348</v>
      </c>
      <c r="K57">
        <v>23</v>
      </c>
      <c r="L57">
        <v>1</v>
      </c>
      <c r="M57" t="s">
        <v>12</v>
      </c>
      <c r="N57">
        <v>15</v>
      </c>
      <c r="O57">
        <v>15</v>
      </c>
      <c r="P57">
        <v>1</v>
      </c>
      <c r="Q57">
        <v>0</v>
      </c>
      <c r="R57" s="2">
        <v>0</v>
      </c>
      <c r="S57">
        <v>100</v>
      </c>
      <c r="T57">
        <v>0</v>
      </c>
      <c r="U57">
        <v>0</v>
      </c>
      <c r="V57">
        <v>0</v>
      </c>
      <c r="W57">
        <v>0</v>
      </c>
      <c r="X57">
        <v>3.6</v>
      </c>
      <c r="Y57">
        <v>3.7</v>
      </c>
      <c r="Z57" s="31">
        <v>3.6</v>
      </c>
      <c r="AA57" s="31">
        <v>3.8</v>
      </c>
      <c r="AB57" s="40">
        <v>3.6749999999999998</v>
      </c>
      <c r="AC57">
        <v>85</v>
      </c>
      <c r="AD57">
        <v>1</v>
      </c>
      <c r="AE57">
        <v>0</v>
      </c>
      <c r="AF57">
        <v>1</v>
      </c>
      <c r="AG57">
        <v>4.2</v>
      </c>
      <c r="AH57">
        <v>4.4000000000000004</v>
      </c>
      <c r="AI57" s="31">
        <v>4.3</v>
      </c>
      <c r="AJ57" s="31">
        <v>4.5999999999999996</v>
      </c>
      <c r="AK57" s="40">
        <v>4.375</v>
      </c>
      <c r="AL57">
        <v>99</v>
      </c>
      <c r="AM57">
        <v>0</v>
      </c>
      <c r="AN57">
        <v>0</v>
      </c>
      <c r="AO57">
        <v>1</v>
      </c>
      <c r="AP57" s="7">
        <v>4.8</v>
      </c>
      <c r="AQ57" s="7">
        <v>4.4000000000000004</v>
      </c>
      <c r="AR57" s="31">
        <v>4.8</v>
      </c>
      <c r="AS57" s="31">
        <v>4.5999999999999996</v>
      </c>
      <c r="AT57" s="39">
        <v>4.6500000000000004</v>
      </c>
      <c r="AU57" s="1">
        <v>0</v>
      </c>
      <c r="AV57" s="1">
        <v>0</v>
      </c>
      <c r="AW57">
        <v>0</v>
      </c>
      <c r="AX57">
        <v>0</v>
      </c>
      <c r="AY57">
        <v>0</v>
      </c>
      <c r="AZ57">
        <f t="shared" si="3"/>
        <v>15</v>
      </c>
      <c r="BA57">
        <f t="shared" si="4"/>
        <v>1</v>
      </c>
      <c r="BB57">
        <v>1</v>
      </c>
      <c r="BC57">
        <v>1</v>
      </c>
      <c r="BD57" s="1">
        <v>3.6</v>
      </c>
      <c r="BE57" s="31">
        <v>3.3</v>
      </c>
      <c r="BF57">
        <v>3.6</v>
      </c>
      <c r="BG57">
        <v>3.6</v>
      </c>
    </row>
    <row r="58" spans="1:59" x14ac:dyDescent="0.2">
      <c r="A58" t="s">
        <v>11</v>
      </c>
      <c r="B58">
        <v>29</v>
      </c>
      <c r="C58" s="2">
        <v>2</v>
      </c>
      <c r="D58">
        <v>1</v>
      </c>
      <c r="E58">
        <v>0</v>
      </c>
      <c r="F58">
        <v>0</v>
      </c>
      <c r="G58">
        <v>1</v>
      </c>
      <c r="H58">
        <v>80</v>
      </c>
      <c r="I58">
        <v>215</v>
      </c>
      <c r="J58">
        <f t="shared" si="2"/>
        <v>23.616406250000001</v>
      </c>
      <c r="K58">
        <v>21</v>
      </c>
      <c r="L58">
        <v>2</v>
      </c>
      <c r="M58" t="s">
        <v>0</v>
      </c>
      <c r="N58">
        <v>15</v>
      </c>
      <c r="O58">
        <v>5</v>
      </c>
      <c r="P58">
        <v>1</v>
      </c>
      <c r="Q58">
        <v>0</v>
      </c>
      <c r="R58" s="2">
        <v>1</v>
      </c>
      <c r="S58">
        <v>75</v>
      </c>
      <c r="T58">
        <v>0</v>
      </c>
      <c r="U58">
        <v>0</v>
      </c>
      <c r="V58">
        <v>1</v>
      </c>
      <c r="W58">
        <v>1</v>
      </c>
      <c r="X58" s="26">
        <v>5.8</v>
      </c>
      <c r="Y58" s="26">
        <v>6.1</v>
      </c>
      <c r="Z58" s="31">
        <v>5.8</v>
      </c>
      <c r="AA58" s="31">
        <v>6.1</v>
      </c>
      <c r="AB58" s="40">
        <v>5.9499999999999993</v>
      </c>
      <c r="AC58">
        <v>62</v>
      </c>
      <c r="AD58">
        <v>1</v>
      </c>
      <c r="AE58">
        <v>0</v>
      </c>
      <c r="AF58">
        <v>1</v>
      </c>
      <c r="AG58" s="4">
        <v>7.2</v>
      </c>
      <c r="AH58" s="4">
        <v>6.9</v>
      </c>
      <c r="AI58" s="31">
        <v>7.1</v>
      </c>
      <c r="AJ58" s="31">
        <v>6.9</v>
      </c>
      <c r="AK58" s="40">
        <v>7.0250000000000004</v>
      </c>
      <c r="AL58">
        <v>72</v>
      </c>
      <c r="AM58">
        <v>0</v>
      </c>
      <c r="AN58">
        <v>0</v>
      </c>
      <c r="AO58">
        <v>1</v>
      </c>
      <c r="AP58" s="4">
        <v>7.2</v>
      </c>
      <c r="AQ58" s="4">
        <v>6.9</v>
      </c>
      <c r="AR58" s="31">
        <v>7.6</v>
      </c>
      <c r="AS58" s="31">
        <v>7</v>
      </c>
      <c r="AT58" s="39">
        <v>7.1750000000000007</v>
      </c>
      <c r="AU58" s="1">
        <v>0</v>
      </c>
      <c r="AV58" s="1">
        <v>0</v>
      </c>
      <c r="AW58">
        <v>0</v>
      </c>
      <c r="AX58">
        <v>1</v>
      </c>
      <c r="AY58">
        <v>1</v>
      </c>
      <c r="AZ58">
        <f t="shared" si="3"/>
        <v>13</v>
      </c>
      <c r="BA58">
        <f t="shared" si="4"/>
        <v>3</v>
      </c>
      <c r="BB58">
        <v>1</v>
      </c>
      <c r="BC58">
        <v>1</v>
      </c>
      <c r="BD58" s="1">
        <v>5.0999999999999996</v>
      </c>
      <c r="BE58" s="31">
        <v>5</v>
      </c>
      <c r="BF58">
        <v>5.0999999999999996</v>
      </c>
      <c r="BG58">
        <v>5.0999999999999996</v>
      </c>
    </row>
    <row r="59" spans="1:59" x14ac:dyDescent="0.2">
      <c r="A59" t="s">
        <v>10</v>
      </c>
      <c r="B59">
        <v>29</v>
      </c>
      <c r="C59" s="2">
        <v>2</v>
      </c>
      <c r="D59">
        <v>1</v>
      </c>
      <c r="E59">
        <v>0</v>
      </c>
      <c r="F59">
        <v>0</v>
      </c>
      <c r="G59">
        <v>1</v>
      </c>
      <c r="H59">
        <v>80</v>
      </c>
      <c r="I59">
        <v>215</v>
      </c>
      <c r="J59">
        <f t="shared" si="2"/>
        <v>23.616406250000001</v>
      </c>
      <c r="K59">
        <v>21</v>
      </c>
      <c r="L59">
        <v>2</v>
      </c>
      <c r="M59" t="s">
        <v>0</v>
      </c>
      <c r="N59">
        <v>15</v>
      </c>
      <c r="O59">
        <v>5</v>
      </c>
      <c r="P59">
        <v>1</v>
      </c>
      <c r="Q59">
        <v>0</v>
      </c>
      <c r="R59" s="2">
        <v>1</v>
      </c>
      <c r="S59">
        <v>73</v>
      </c>
      <c r="T59">
        <v>1</v>
      </c>
      <c r="U59">
        <v>0</v>
      </c>
      <c r="V59">
        <v>1</v>
      </c>
      <c r="W59">
        <v>1</v>
      </c>
      <c r="X59" s="26">
        <v>5.7</v>
      </c>
      <c r="Y59" s="26">
        <v>5.8</v>
      </c>
      <c r="Z59" s="31">
        <v>5.5</v>
      </c>
      <c r="AA59" s="31">
        <v>6</v>
      </c>
      <c r="AB59" s="40">
        <v>5.75</v>
      </c>
      <c r="AC59">
        <v>62</v>
      </c>
      <c r="AD59">
        <v>1</v>
      </c>
      <c r="AE59">
        <v>0</v>
      </c>
      <c r="AF59">
        <v>1</v>
      </c>
      <c r="AG59" s="4">
        <v>7.9</v>
      </c>
      <c r="AH59" s="4">
        <v>7.4</v>
      </c>
      <c r="AI59" s="31">
        <v>8.1</v>
      </c>
      <c r="AJ59" s="31">
        <v>7.4</v>
      </c>
      <c r="AK59" s="40">
        <v>7.6999999999999993</v>
      </c>
      <c r="AL59">
        <v>72</v>
      </c>
      <c r="AM59">
        <v>1</v>
      </c>
      <c r="AN59">
        <v>0</v>
      </c>
      <c r="AO59">
        <v>1</v>
      </c>
      <c r="AP59" s="4">
        <v>7.5</v>
      </c>
      <c r="AQ59" s="4">
        <v>7.9</v>
      </c>
      <c r="AR59" s="31">
        <v>7.4</v>
      </c>
      <c r="AS59" s="31">
        <v>7.4</v>
      </c>
      <c r="AT59" s="39">
        <v>7.5500000000000007</v>
      </c>
      <c r="AU59" s="1">
        <v>0</v>
      </c>
      <c r="AV59" s="1">
        <v>0</v>
      </c>
      <c r="AW59">
        <v>0</v>
      </c>
      <c r="AX59">
        <v>1</v>
      </c>
      <c r="AY59">
        <v>1</v>
      </c>
      <c r="AZ59">
        <f t="shared" si="3"/>
        <v>11</v>
      </c>
      <c r="BA59">
        <f t="shared" si="4"/>
        <v>1</v>
      </c>
      <c r="BB59">
        <v>0</v>
      </c>
      <c r="BC59">
        <v>1</v>
      </c>
      <c r="BD59" s="1">
        <v>4.4000000000000004</v>
      </c>
      <c r="BE59" s="31">
        <v>4.5999999999999996</v>
      </c>
      <c r="BF59">
        <v>4.4000000000000004</v>
      </c>
      <c r="BG59">
        <v>4.5</v>
      </c>
    </row>
    <row r="60" spans="1:59" x14ac:dyDescent="0.2">
      <c r="A60" t="s">
        <v>9</v>
      </c>
      <c r="B60">
        <v>30</v>
      </c>
      <c r="C60" s="2">
        <v>2</v>
      </c>
      <c r="D60">
        <v>1</v>
      </c>
      <c r="E60">
        <v>0</v>
      </c>
      <c r="F60">
        <v>1</v>
      </c>
      <c r="G60">
        <v>1</v>
      </c>
      <c r="H60">
        <v>76</v>
      </c>
      <c r="I60">
        <v>195</v>
      </c>
      <c r="J60">
        <f t="shared" si="2"/>
        <v>23.733552631578945</v>
      </c>
      <c r="K60">
        <v>22</v>
      </c>
      <c r="L60">
        <v>1</v>
      </c>
      <c r="M60" t="s">
        <v>5</v>
      </c>
      <c r="N60">
        <v>10</v>
      </c>
      <c r="O60">
        <v>10</v>
      </c>
      <c r="P60">
        <v>0</v>
      </c>
      <c r="Q60">
        <v>0</v>
      </c>
      <c r="R60" s="2">
        <v>0</v>
      </c>
      <c r="S60">
        <v>67</v>
      </c>
      <c r="T60">
        <v>0</v>
      </c>
      <c r="U60">
        <v>0</v>
      </c>
      <c r="V60">
        <v>1</v>
      </c>
      <c r="W60">
        <v>0</v>
      </c>
      <c r="X60">
        <v>4.2</v>
      </c>
      <c r="Y60">
        <v>4.4000000000000004</v>
      </c>
      <c r="Z60" s="31">
        <v>4.0999999999999996</v>
      </c>
      <c r="AA60" s="31">
        <v>4.2</v>
      </c>
      <c r="AB60" s="40">
        <v>4.2250000000000005</v>
      </c>
      <c r="AC60">
        <v>91</v>
      </c>
      <c r="AD60">
        <v>0</v>
      </c>
      <c r="AE60">
        <v>0</v>
      </c>
      <c r="AF60">
        <v>1</v>
      </c>
      <c r="AG60" s="7">
        <v>6.1</v>
      </c>
      <c r="AH60" s="7">
        <v>6.5</v>
      </c>
      <c r="AI60" s="31">
        <v>6.4</v>
      </c>
      <c r="AJ60" s="31">
        <v>7.1</v>
      </c>
      <c r="AK60" s="40">
        <v>6.5250000000000004</v>
      </c>
      <c r="AL60">
        <v>90</v>
      </c>
      <c r="AM60">
        <v>0</v>
      </c>
      <c r="AN60">
        <v>0</v>
      </c>
      <c r="AO60">
        <v>1</v>
      </c>
      <c r="AP60" s="7">
        <v>5.8</v>
      </c>
      <c r="AQ60" s="7">
        <v>6.3</v>
      </c>
      <c r="AR60" s="31">
        <v>6.6</v>
      </c>
      <c r="AS60" s="31">
        <v>6.4</v>
      </c>
      <c r="AT60" s="39">
        <v>6.2750000000000004</v>
      </c>
      <c r="AU60" s="1">
        <v>0</v>
      </c>
      <c r="AV60" s="1">
        <v>0</v>
      </c>
      <c r="AW60">
        <v>0</v>
      </c>
      <c r="AX60">
        <v>0</v>
      </c>
      <c r="AY60">
        <v>0</v>
      </c>
      <c r="AZ60">
        <f t="shared" si="3"/>
        <v>-24</v>
      </c>
      <c r="BA60">
        <f t="shared" si="4"/>
        <v>-23</v>
      </c>
      <c r="BB60">
        <v>0</v>
      </c>
      <c r="BC60">
        <v>1</v>
      </c>
      <c r="BD60" s="1">
        <v>4.3</v>
      </c>
      <c r="BE60" s="31">
        <v>4.4000000000000004</v>
      </c>
      <c r="BF60">
        <v>4.5</v>
      </c>
      <c r="BG60">
        <v>4.5999999999999996</v>
      </c>
    </row>
    <row r="61" spans="1:59" x14ac:dyDescent="0.2">
      <c r="A61" t="s">
        <v>8</v>
      </c>
      <c r="B61">
        <v>30</v>
      </c>
      <c r="C61" s="2">
        <v>2</v>
      </c>
      <c r="D61">
        <v>1</v>
      </c>
      <c r="E61">
        <v>0</v>
      </c>
      <c r="F61">
        <v>1</v>
      </c>
      <c r="G61">
        <v>1</v>
      </c>
      <c r="H61">
        <v>76</v>
      </c>
      <c r="I61">
        <v>195</v>
      </c>
      <c r="J61">
        <f t="shared" si="2"/>
        <v>23.733552631578945</v>
      </c>
      <c r="K61">
        <v>22</v>
      </c>
      <c r="L61">
        <v>1</v>
      </c>
      <c r="M61" t="s">
        <v>5</v>
      </c>
      <c r="N61">
        <v>10</v>
      </c>
      <c r="O61">
        <v>10</v>
      </c>
      <c r="P61">
        <v>0</v>
      </c>
      <c r="Q61">
        <v>0</v>
      </c>
      <c r="R61" s="2">
        <v>1</v>
      </c>
      <c r="S61">
        <v>67</v>
      </c>
      <c r="T61">
        <v>0</v>
      </c>
      <c r="U61">
        <v>0</v>
      </c>
      <c r="V61">
        <v>1</v>
      </c>
      <c r="W61">
        <v>0</v>
      </c>
      <c r="X61">
        <v>7.3</v>
      </c>
      <c r="Y61">
        <v>7.5</v>
      </c>
      <c r="Z61" s="31">
        <v>7.2</v>
      </c>
      <c r="AA61" s="31">
        <v>7.3</v>
      </c>
      <c r="AB61" s="40">
        <v>7.3250000000000002</v>
      </c>
      <c r="AC61">
        <v>85</v>
      </c>
      <c r="AD61">
        <v>0</v>
      </c>
      <c r="AE61">
        <v>0</v>
      </c>
      <c r="AF61">
        <v>1</v>
      </c>
      <c r="AG61" s="7">
        <v>7.2</v>
      </c>
      <c r="AH61" s="7">
        <v>7</v>
      </c>
      <c r="AI61" s="31">
        <v>7.4</v>
      </c>
      <c r="AJ61" s="31">
        <v>7.7</v>
      </c>
      <c r="AK61" s="40">
        <v>7.3250000000000002</v>
      </c>
      <c r="AL61">
        <v>78</v>
      </c>
      <c r="AM61">
        <v>0</v>
      </c>
      <c r="AN61">
        <v>1</v>
      </c>
      <c r="AO61">
        <v>1</v>
      </c>
      <c r="AP61" s="4">
        <v>9.4</v>
      </c>
      <c r="AQ61" s="4">
        <v>9.4</v>
      </c>
      <c r="AR61" s="31">
        <v>9.9</v>
      </c>
      <c r="AS61" s="31">
        <v>9.6999999999999993</v>
      </c>
      <c r="AT61" s="39">
        <v>9.6000000000000014</v>
      </c>
      <c r="AU61" s="1">
        <v>0</v>
      </c>
      <c r="AV61" s="1">
        <v>0</v>
      </c>
      <c r="AW61">
        <v>0</v>
      </c>
      <c r="AX61">
        <v>1</v>
      </c>
      <c r="AY61">
        <v>0</v>
      </c>
      <c r="AZ61">
        <f t="shared" si="3"/>
        <v>-18</v>
      </c>
      <c r="BA61">
        <f t="shared" si="4"/>
        <v>-11</v>
      </c>
      <c r="BB61">
        <v>0</v>
      </c>
      <c r="BC61">
        <v>1</v>
      </c>
      <c r="BD61" s="1">
        <v>4.9000000000000004</v>
      </c>
      <c r="BE61" s="31">
        <v>4.5999999999999996</v>
      </c>
      <c r="BF61">
        <v>4.4000000000000004</v>
      </c>
      <c r="BG61">
        <v>4.5</v>
      </c>
    </row>
    <row r="62" spans="1:59" x14ac:dyDescent="0.2">
      <c r="A62" t="s">
        <v>7</v>
      </c>
      <c r="B62">
        <v>31</v>
      </c>
      <c r="C62" s="2">
        <v>2</v>
      </c>
      <c r="D62">
        <v>1</v>
      </c>
      <c r="E62">
        <v>1</v>
      </c>
      <c r="F62">
        <v>1</v>
      </c>
      <c r="G62">
        <v>1</v>
      </c>
      <c r="H62">
        <v>80</v>
      </c>
      <c r="I62">
        <v>240</v>
      </c>
      <c r="J62">
        <f t="shared" si="2"/>
        <v>26.362500000000001</v>
      </c>
      <c r="K62">
        <v>21</v>
      </c>
      <c r="L62">
        <v>2</v>
      </c>
      <c r="M62" t="s">
        <v>5</v>
      </c>
      <c r="N62" s="6"/>
      <c r="O62" s="6"/>
      <c r="P62">
        <v>0</v>
      </c>
      <c r="Q62">
        <v>0</v>
      </c>
      <c r="R62" s="2">
        <v>0</v>
      </c>
      <c r="S62">
        <v>100</v>
      </c>
      <c r="T62">
        <v>0</v>
      </c>
      <c r="U62">
        <v>0</v>
      </c>
      <c r="V62">
        <v>0</v>
      </c>
      <c r="W62">
        <v>0</v>
      </c>
      <c r="X62">
        <v>4</v>
      </c>
      <c r="Y62">
        <v>4.2</v>
      </c>
      <c r="Z62" s="31">
        <v>4.2</v>
      </c>
      <c r="AA62" s="31">
        <v>4.2</v>
      </c>
      <c r="AB62" s="40">
        <v>4.1499999999999995</v>
      </c>
      <c r="AC62">
        <v>86</v>
      </c>
      <c r="AD62">
        <v>0</v>
      </c>
      <c r="AE62">
        <v>0</v>
      </c>
      <c r="AF62">
        <v>0</v>
      </c>
      <c r="AG62">
        <v>3.5</v>
      </c>
      <c r="AH62">
        <v>3.5</v>
      </c>
      <c r="AI62" s="31">
        <v>3.5</v>
      </c>
      <c r="AJ62" s="31">
        <v>3.7</v>
      </c>
      <c r="AK62" s="40">
        <v>3.55</v>
      </c>
      <c r="AL62">
        <v>93</v>
      </c>
      <c r="AM62">
        <v>0</v>
      </c>
      <c r="AN62">
        <v>0</v>
      </c>
      <c r="AO62">
        <v>0</v>
      </c>
      <c r="AP62">
        <v>3.7</v>
      </c>
      <c r="AQ62">
        <v>4.0999999999999996</v>
      </c>
      <c r="AR62" s="31">
        <v>4</v>
      </c>
      <c r="AS62" s="31">
        <v>4.5999999999999996</v>
      </c>
      <c r="AT62" s="39">
        <v>4.0999999999999996</v>
      </c>
      <c r="AU62" s="1">
        <v>0</v>
      </c>
      <c r="AV62" s="1">
        <v>0</v>
      </c>
      <c r="AW62">
        <v>0</v>
      </c>
      <c r="AX62">
        <v>0</v>
      </c>
      <c r="AY62">
        <v>0</v>
      </c>
      <c r="AZ62">
        <f t="shared" si="3"/>
        <v>14</v>
      </c>
      <c r="BA62">
        <f t="shared" si="4"/>
        <v>7</v>
      </c>
      <c r="BB62">
        <v>1</v>
      </c>
      <c r="BC62">
        <v>0</v>
      </c>
      <c r="BD62" s="1">
        <v>3.2</v>
      </c>
      <c r="BE62" s="31">
        <v>3.7</v>
      </c>
      <c r="BF62">
        <v>3.7</v>
      </c>
      <c r="BG62">
        <v>3.6</v>
      </c>
    </row>
    <row r="63" spans="1:59" x14ac:dyDescent="0.2">
      <c r="A63" t="s">
        <v>6</v>
      </c>
      <c r="B63">
        <v>31</v>
      </c>
      <c r="C63" s="2">
        <v>2</v>
      </c>
      <c r="D63">
        <v>1</v>
      </c>
      <c r="E63">
        <v>1</v>
      </c>
      <c r="F63">
        <v>1</v>
      </c>
      <c r="G63">
        <v>1</v>
      </c>
      <c r="H63">
        <v>80</v>
      </c>
      <c r="I63">
        <v>240</v>
      </c>
      <c r="J63">
        <f t="shared" si="2"/>
        <v>26.362500000000001</v>
      </c>
      <c r="K63">
        <v>21</v>
      </c>
      <c r="L63">
        <v>2</v>
      </c>
      <c r="M63" t="s">
        <v>5</v>
      </c>
      <c r="N63" s="6"/>
      <c r="O63" s="6"/>
      <c r="P63">
        <v>0</v>
      </c>
      <c r="Q63">
        <v>0</v>
      </c>
      <c r="R63" s="2">
        <v>0</v>
      </c>
      <c r="S63">
        <v>88</v>
      </c>
      <c r="T63">
        <v>0</v>
      </c>
      <c r="U63">
        <v>0</v>
      </c>
      <c r="V63">
        <v>0</v>
      </c>
      <c r="W63">
        <v>0</v>
      </c>
      <c r="X63">
        <v>3.6</v>
      </c>
      <c r="Y63">
        <v>3.6</v>
      </c>
      <c r="Z63" s="31">
        <v>3.3</v>
      </c>
      <c r="AA63" s="31">
        <v>3.6</v>
      </c>
      <c r="AB63" s="40">
        <v>3.5249999999999999</v>
      </c>
      <c r="AC63">
        <v>88</v>
      </c>
      <c r="AD63">
        <v>0</v>
      </c>
      <c r="AE63">
        <v>0</v>
      </c>
      <c r="AF63">
        <v>0</v>
      </c>
      <c r="AG63">
        <v>3.6</v>
      </c>
      <c r="AH63">
        <v>3.4</v>
      </c>
      <c r="AI63" s="31">
        <v>3.8</v>
      </c>
      <c r="AJ63" s="31">
        <v>3.5</v>
      </c>
      <c r="AK63" s="40">
        <v>3.5750000000000002</v>
      </c>
      <c r="AL63">
        <v>97</v>
      </c>
      <c r="AM63">
        <v>0</v>
      </c>
      <c r="AN63">
        <v>0</v>
      </c>
      <c r="AO63">
        <v>0</v>
      </c>
      <c r="AP63">
        <v>3.1</v>
      </c>
      <c r="AQ63">
        <v>3.2</v>
      </c>
      <c r="AR63" s="31">
        <v>3.5</v>
      </c>
      <c r="AS63" s="31">
        <v>3.1</v>
      </c>
      <c r="AT63" s="39">
        <v>3.2250000000000001</v>
      </c>
      <c r="AU63" s="1">
        <v>0</v>
      </c>
      <c r="AV63" s="1">
        <v>0</v>
      </c>
      <c r="AW63">
        <v>0</v>
      </c>
      <c r="AX63">
        <v>0</v>
      </c>
      <c r="AY63">
        <v>0</v>
      </c>
      <c r="AZ63">
        <f t="shared" si="3"/>
        <v>0</v>
      </c>
      <c r="BA63">
        <f t="shared" si="4"/>
        <v>-9</v>
      </c>
      <c r="BB63">
        <v>0</v>
      </c>
      <c r="BC63">
        <v>0</v>
      </c>
      <c r="BD63" s="1">
        <v>4.9000000000000004</v>
      </c>
      <c r="BE63" s="31">
        <v>5.2</v>
      </c>
      <c r="BF63">
        <v>5.0999999999999996</v>
      </c>
      <c r="BG63">
        <v>5.3</v>
      </c>
    </row>
    <row r="64" spans="1:59" x14ac:dyDescent="0.2">
      <c r="A64" t="s">
        <v>4</v>
      </c>
      <c r="B64">
        <v>32</v>
      </c>
      <c r="C64" s="2">
        <v>2</v>
      </c>
      <c r="D64">
        <v>1</v>
      </c>
      <c r="E64">
        <v>1</v>
      </c>
      <c r="F64">
        <v>1</v>
      </c>
      <c r="G64">
        <v>1</v>
      </c>
      <c r="H64">
        <v>73</v>
      </c>
      <c r="I64">
        <v>190</v>
      </c>
      <c r="J64">
        <f t="shared" si="2"/>
        <v>25.064740101332333</v>
      </c>
      <c r="K64">
        <v>19</v>
      </c>
      <c r="L64">
        <v>1</v>
      </c>
      <c r="M64" t="s">
        <v>0</v>
      </c>
      <c r="N64" s="6"/>
      <c r="O64" s="6"/>
      <c r="P64">
        <v>0</v>
      </c>
      <c r="Q64">
        <v>0</v>
      </c>
      <c r="R64" s="2">
        <v>0</v>
      </c>
      <c r="S64">
        <v>95</v>
      </c>
      <c r="T64">
        <v>0</v>
      </c>
      <c r="U64">
        <v>0</v>
      </c>
      <c r="V64">
        <v>0</v>
      </c>
      <c r="W64">
        <v>0</v>
      </c>
      <c r="X64">
        <v>5.0999999999999996</v>
      </c>
      <c r="Y64">
        <v>5.0999999999999996</v>
      </c>
      <c r="Z64" s="31">
        <v>5</v>
      </c>
      <c r="AA64" s="31">
        <v>4.9000000000000004</v>
      </c>
      <c r="AB64" s="40">
        <v>5.0250000000000004</v>
      </c>
      <c r="AC64">
        <v>75</v>
      </c>
      <c r="AD64">
        <v>0</v>
      </c>
      <c r="AE64">
        <v>0</v>
      </c>
      <c r="AF64">
        <v>1</v>
      </c>
      <c r="AG64">
        <v>7.2</v>
      </c>
      <c r="AH64" s="7">
        <v>8</v>
      </c>
      <c r="AI64" s="31">
        <v>6.8</v>
      </c>
      <c r="AJ64" s="31">
        <v>8.1999999999999993</v>
      </c>
      <c r="AK64" s="40">
        <v>7.55</v>
      </c>
      <c r="AL64">
        <v>79</v>
      </c>
      <c r="AM64">
        <v>0</v>
      </c>
      <c r="AN64">
        <v>0</v>
      </c>
      <c r="AO64">
        <v>1</v>
      </c>
      <c r="AP64" s="4">
        <v>5.8</v>
      </c>
      <c r="AQ64" s="4">
        <v>6.7</v>
      </c>
      <c r="AR64" s="31">
        <v>5.9</v>
      </c>
      <c r="AS64" s="31">
        <v>6.8</v>
      </c>
      <c r="AT64" s="39">
        <v>6.3</v>
      </c>
      <c r="AU64" s="1">
        <v>1</v>
      </c>
      <c r="AV64" s="1">
        <v>1</v>
      </c>
      <c r="AW64">
        <v>0</v>
      </c>
      <c r="AX64">
        <v>1</v>
      </c>
      <c r="AY64">
        <v>0</v>
      </c>
      <c r="AZ64">
        <f t="shared" si="3"/>
        <v>20</v>
      </c>
      <c r="BA64">
        <f t="shared" si="4"/>
        <v>16</v>
      </c>
      <c r="BB64">
        <v>1</v>
      </c>
      <c r="BC64">
        <v>1</v>
      </c>
      <c r="BD64" s="1">
        <v>4.4000000000000004</v>
      </c>
      <c r="BE64" s="31">
        <v>4.3</v>
      </c>
      <c r="BF64">
        <v>4.5999999999999996</v>
      </c>
      <c r="BG64" s="7">
        <v>5.3</v>
      </c>
    </row>
    <row r="65" spans="1:59" x14ac:dyDescent="0.2">
      <c r="A65" t="s">
        <v>3</v>
      </c>
      <c r="B65">
        <v>32</v>
      </c>
      <c r="C65" s="2">
        <v>2</v>
      </c>
      <c r="D65">
        <v>1</v>
      </c>
      <c r="E65">
        <v>1</v>
      </c>
      <c r="F65">
        <v>1</v>
      </c>
      <c r="G65">
        <v>1</v>
      </c>
      <c r="H65">
        <v>73</v>
      </c>
      <c r="I65">
        <v>190</v>
      </c>
      <c r="J65">
        <f t="shared" si="2"/>
        <v>25.064740101332333</v>
      </c>
      <c r="K65">
        <v>19</v>
      </c>
      <c r="L65">
        <v>1</v>
      </c>
      <c r="M65" t="s">
        <v>0</v>
      </c>
      <c r="N65" s="6"/>
      <c r="O65" s="6"/>
      <c r="P65">
        <v>0</v>
      </c>
      <c r="Q65">
        <v>0</v>
      </c>
      <c r="R65" s="2">
        <v>0</v>
      </c>
      <c r="S65">
        <v>95</v>
      </c>
      <c r="T65">
        <v>0</v>
      </c>
      <c r="U65">
        <v>0</v>
      </c>
      <c r="V65">
        <v>0</v>
      </c>
      <c r="W65">
        <v>0</v>
      </c>
      <c r="X65">
        <v>4.4000000000000004</v>
      </c>
      <c r="Y65">
        <v>4.5</v>
      </c>
      <c r="Z65" s="31">
        <v>4.5999999999999996</v>
      </c>
      <c r="AA65" s="31">
        <v>4.5</v>
      </c>
      <c r="AB65" s="40">
        <v>4.5</v>
      </c>
      <c r="AC65">
        <v>78</v>
      </c>
      <c r="AD65">
        <v>0</v>
      </c>
      <c r="AE65">
        <v>0</v>
      </c>
      <c r="AF65">
        <v>0</v>
      </c>
      <c r="AG65">
        <v>5.5</v>
      </c>
      <c r="AH65">
        <v>6.1</v>
      </c>
      <c r="AI65" s="31">
        <v>5.5</v>
      </c>
      <c r="AJ65" s="31">
        <v>5.9</v>
      </c>
      <c r="AK65" s="40">
        <v>5.75</v>
      </c>
      <c r="AL65" s="5">
        <v>43</v>
      </c>
      <c r="AM65">
        <v>0</v>
      </c>
      <c r="AN65">
        <v>0</v>
      </c>
      <c r="AO65">
        <v>1</v>
      </c>
      <c r="AP65" s="4">
        <v>6.1</v>
      </c>
      <c r="AQ65" s="4">
        <v>6.3</v>
      </c>
      <c r="AR65" s="31">
        <v>6.1</v>
      </c>
      <c r="AS65" s="31">
        <v>6.3</v>
      </c>
      <c r="AT65" s="39">
        <v>6.2</v>
      </c>
      <c r="AU65" s="1">
        <v>1</v>
      </c>
      <c r="AV65" s="1">
        <v>1</v>
      </c>
      <c r="AW65">
        <v>0</v>
      </c>
      <c r="AX65">
        <v>1</v>
      </c>
      <c r="AY65">
        <v>0</v>
      </c>
      <c r="AZ65">
        <f t="shared" si="3"/>
        <v>17</v>
      </c>
      <c r="BA65">
        <f t="shared" si="4"/>
        <v>52</v>
      </c>
      <c r="BB65">
        <v>1</v>
      </c>
      <c r="BC65">
        <v>1</v>
      </c>
      <c r="BD65" s="1">
        <v>3.2</v>
      </c>
      <c r="BE65" s="31">
        <v>3.2</v>
      </c>
      <c r="BF65">
        <v>3.7</v>
      </c>
      <c r="BG65">
        <v>4</v>
      </c>
    </row>
    <row r="66" spans="1:59" x14ac:dyDescent="0.2">
      <c r="A66" s="3" t="s">
        <v>2</v>
      </c>
      <c r="B66" s="3">
        <v>33</v>
      </c>
      <c r="C66" s="2">
        <v>2</v>
      </c>
      <c r="D66">
        <v>0</v>
      </c>
      <c r="E66">
        <v>0</v>
      </c>
      <c r="F66">
        <v>0</v>
      </c>
      <c r="G66" s="3">
        <v>1</v>
      </c>
      <c r="H66" s="3">
        <v>75</v>
      </c>
      <c r="I66" s="3">
        <v>180</v>
      </c>
      <c r="J66">
        <f t="shared" si="2"/>
        <v>22.496000000000002</v>
      </c>
      <c r="K66" s="3">
        <v>20</v>
      </c>
      <c r="L66" s="3">
        <v>1</v>
      </c>
      <c r="M66" s="3" t="s">
        <v>0</v>
      </c>
      <c r="N66" s="3">
        <v>13</v>
      </c>
      <c r="O66" s="3">
        <v>13</v>
      </c>
      <c r="P66" s="3">
        <v>0</v>
      </c>
      <c r="Q66" s="3">
        <v>0</v>
      </c>
      <c r="R66" s="13">
        <v>0</v>
      </c>
      <c r="S66" s="3"/>
      <c r="T66" s="3"/>
      <c r="U66" s="3"/>
      <c r="V66" s="3"/>
      <c r="W66" s="3"/>
      <c r="X66" s="3"/>
      <c r="Y66" s="3"/>
      <c r="Z66" s="3"/>
      <c r="AA66" s="3"/>
      <c r="AB66" s="40" t="e">
        <f>AVERAGE(X66:AA66)</f>
        <v>#DIV/0!</v>
      </c>
      <c r="AC66">
        <v>78</v>
      </c>
      <c r="AD66">
        <v>0</v>
      </c>
      <c r="AE66">
        <v>0</v>
      </c>
      <c r="AF66">
        <v>0</v>
      </c>
      <c r="AG66">
        <v>3.7</v>
      </c>
      <c r="AH66">
        <v>3.9</v>
      </c>
      <c r="AI66" s="31">
        <v>3.7</v>
      </c>
      <c r="AJ66" s="31">
        <v>4</v>
      </c>
      <c r="AK66" s="40">
        <v>3.8250000000000002</v>
      </c>
      <c r="AL66">
        <v>94</v>
      </c>
      <c r="AM66">
        <v>0</v>
      </c>
      <c r="AN66">
        <v>0</v>
      </c>
      <c r="AO66">
        <v>0</v>
      </c>
      <c r="AP66">
        <v>3.5</v>
      </c>
      <c r="AQ66">
        <v>3.5</v>
      </c>
      <c r="AR66" s="31">
        <v>3.5</v>
      </c>
      <c r="AS66" s="31">
        <v>3.6</v>
      </c>
      <c r="AT66" s="39">
        <v>3.5249999999999999</v>
      </c>
      <c r="AU66" s="1">
        <v>0</v>
      </c>
      <c r="AV66" s="1">
        <v>0</v>
      </c>
      <c r="AW66">
        <v>0</v>
      </c>
      <c r="AX66">
        <v>1</v>
      </c>
      <c r="AY66">
        <v>0</v>
      </c>
      <c r="AZ66" s="3">
        <f t="shared" si="3"/>
        <v>-78</v>
      </c>
      <c r="BA66" s="3">
        <f t="shared" si="4"/>
        <v>-94</v>
      </c>
      <c r="BC66">
        <v>0</v>
      </c>
      <c r="BD66" s="1">
        <v>4.5</v>
      </c>
      <c r="BE66" s="31">
        <v>4.9000000000000004</v>
      </c>
      <c r="BF66">
        <v>4.5</v>
      </c>
      <c r="BG66">
        <v>4.8</v>
      </c>
    </row>
    <row r="67" spans="1:59" x14ac:dyDescent="0.2">
      <c r="A67" s="3" t="s">
        <v>1</v>
      </c>
      <c r="B67" s="3">
        <v>33</v>
      </c>
      <c r="C67" s="2">
        <v>2</v>
      </c>
      <c r="D67">
        <v>0</v>
      </c>
      <c r="E67">
        <v>0</v>
      </c>
      <c r="F67">
        <v>0</v>
      </c>
      <c r="G67" s="3">
        <v>1</v>
      </c>
      <c r="H67" s="3">
        <v>75</v>
      </c>
      <c r="I67" s="3">
        <v>180</v>
      </c>
      <c r="J67">
        <f t="shared" ref="J67" si="5">I67/(H67^2)*703</f>
        <v>22.496000000000002</v>
      </c>
      <c r="K67" s="3">
        <v>20</v>
      </c>
      <c r="L67" s="3">
        <v>1</v>
      </c>
      <c r="M67" s="3" t="s">
        <v>0</v>
      </c>
      <c r="N67" s="3">
        <v>13</v>
      </c>
      <c r="O67" s="3">
        <v>13</v>
      </c>
      <c r="P67" s="3">
        <v>0</v>
      </c>
      <c r="Q67" s="3">
        <v>0</v>
      </c>
      <c r="R67" s="13">
        <v>0</v>
      </c>
      <c r="S67" s="3"/>
      <c r="T67" s="3"/>
      <c r="U67" s="3"/>
      <c r="V67" s="3"/>
      <c r="W67" s="3"/>
      <c r="X67" s="3"/>
      <c r="Y67" s="3"/>
      <c r="Z67" s="3"/>
      <c r="AA67" s="3"/>
      <c r="AB67" s="40" t="e">
        <f>AVERAGE(X67:AA67)</f>
        <v>#DIV/0!</v>
      </c>
      <c r="AC67">
        <v>75</v>
      </c>
      <c r="AD67">
        <v>0</v>
      </c>
      <c r="AE67">
        <v>0</v>
      </c>
      <c r="AF67">
        <v>0</v>
      </c>
      <c r="AG67">
        <v>4.5999999999999996</v>
      </c>
      <c r="AH67">
        <v>4.7</v>
      </c>
      <c r="AI67" s="31">
        <v>4.7</v>
      </c>
      <c r="AJ67" s="31">
        <v>4.9000000000000004</v>
      </c>
      <c r="AK67" s="40">
        <v>4.7249999999999996</v>
      </c>
      <c r="AL67">
        <v>79</v>
      </c>
      <c r="AM67">
        <v>1</v>
      </c>
      <c r="AN67">
        <v>0</v>
      </c>
      <c r="AO67">
        <v>0</v>
      </c>
      <c r="AP67">
        <v>4.5</v>
      </c>
      <c r="AQ67">
        <v>3.8</v>
      </c>
      <c r="AR67" s="31">
        <v>4.4000000000000004</v>
      </c>
      <c r="AS67" s="31">
        <v>4</v>
      </c>
      <c r="AT67" s="39">
        <v>4.1750000000000007</v>
      </c>
      <c r="AU67" s="1">
        <v>0</v>
      </c>
      <c r="AV67" s="1">
        <v>0</v>
      </c>
      <c r="AW67">
        <v>0</v>
      </c>
      <c r="AX67">
        <v>1</v>
      </c>
      <c r="AY67">
        <v>0</v>
      </c>
      <c r="AZ67" s="3">
        <f t="shared" si="3"/>
        <v>-75</v>
      </c>
      <c r="BA67" s="3">
        <f t="shared" si="4"/>
        <v>-79</v>
      </c>
      <c r="BC67">
        <v>0</v>
      </c>
      <c r="BD67" s="1">
        <v>4.3</v>
      </c>
      <c r="BE67" s="31">
        <v>4.5</v>
      </c>
      <c r="BF67">
        <v>4.3</v>
      </c>
      <c r="BG67">
        <v>4.5</v>
      </c>
    </row>
    <row r="68" spans="1:59" x14ac:dyDescent="0.2">
      <c r="BD68" s="1">
        <v>4.9000000000000004</v>
      </c>
      <c r="BE68" s="31">
        <v>4.7</v>
      </c>
      <c r="BF68">
        <v>4.5999999999999996</v>
      </c>
      <c r="BG68">
        <v>4.8</v>
      </c>
    </row>
    <row r="69" spans="1:59" x14ac:dyDescent="0.2">
      <c r="BD69" s="1">
        <v>4.9000000000000004</v>
      </c>
      <c r="BE69" s="31">
        <v>4.7</v>
      </c>
      <c r="BF69">
        <v>6</v>
      </c>
      <c r="BG69">
        <v>5.8</v>
      </c>
    </row>
    <row r="70" spans="1:59" x14ac:dyDescent="0.2">
      <c r="BD70" s="1">
        <v>4.5999999999999996</v>
      </c>
      <c r="BE70" s="31">
        <v>5</v>
      </c>
      <c r="BF70">
        <v>4.7</v>
      </c>
      <c r="BG70">
        <v>4.9000000000000004</v>
      </c>
    </row>
    <row r="71" spans="1:59" x14ac:dyDescent="0.2">
      <c r="BD71" s="1">
        <v>4.5</v>
      </c>
      <c r="BE71" s="31">
        <v>4.3</v>
      </c>
      <c r="BF71">
        <v>5.2</v>
      </c>
      <c r="BG71">
        <v>5.4</v>
      </c>
    </row>
    <row r="72" spans="1:59" x14ac:dyDescent="0.2">
      <c r="BD72" s="1">
        <v>6.4</v>
      </c>
      <c r="BE72" s="31">
        <v>6.4</v>
      </c>
      <c r="BF72" s="4">
        <v>6.9</v>
      </c>
      <c r="BG72" s="4">
        <v>6.6</v>
      </c>
    </row>
    <row r="73" spans="1:59" x14ac:dyDescent="0.2">
      <c r="BD73" s="1">
        <v>3.5</v>
      </c>
      <c r="BE73" s="31">
        <v>3.4</v>
      </c>
      <c r="BF73">
        <v>3.8</v>
      </c>
      <c r="BG73">
        <v>3.7</v>
      </c>
    </row>
    <row r="74" spans="1:59" x14ac:dyDescent="0.2">
      <c r="BD74" s="1">
        <v>3.6</v>
      </c>
      <c r="BE74" s="31">
        <v>3.7</v>
      </c>
      <c r="BF74">
        <v>4.0999999999999996</v>
      </c>
      <c r="BG74">
        <v>4</v>
      </c>
    </row>
    <row r="75" spans="1:59" x14ac:dyDescent="0.2">
      <c r="BD75" s="35">
        <v>4.8</v>
      </c>
      <c r="BE75" s="31">
        <v>4.8</v>
      </c>
      <c r="BF75">
        <v>4.3</v>
      </c>
      <c r="BG75">
        <v>4.8</v>
      </c>
    </row>
    <row r="76" spans="1:59" x14ac:dyDescent="0.2">
      <c r="BD76" s="1">
        <v>3.4</v>
      </c>
      <c r="BE76" s="31">
        <v>3.5</v>
      </c>
      <c r="BF76">
        <v>3.6</v>
      </c>
      <c r="BG76">
        <v>3.6</v>
      </c>
    </row>
    <row r="77" spans="1:59" x14ac:dyDescent="0.2">
      <c r="BD77" s="1">
        <v>4.5</v>
      </c>
      <c r="BE77" s="31">
        <v>5.4</v>
      </c>
      <c r="BF77">
        <v>4.2</v>
      </c>
      <c r="BG77">
        <v>3.8</v>
      </c>
    </row>
    <row r="78" spans="1:59" x14ac:dyDescent="0.2">
      <c r="BD78" s="1">
        <v>5.4</v>
      </c>
      <c r="BE78" s="31">
        <v>5.3</v>
      </c>
      <c r="BF78">
        <v>5</v>
      </c>
      <c r="BG78">
        <v>4.9000000000000004</v>
      </c>
    </row>
    <row r="79" spans="1:59" x14ac:dyDescent="0.2">
      <c r="BD79" s="1">
        <v>9</v>
      </c>
      <c r="BE79" s="31">
        <v>8.3000000000000007</v>
      </c>
      <c r="BF79">
        <v>6.2</v>
      </c>
      <c r="BG79">
        <v>6.4</v>
      </c>
    </row>
    <row r="80" spans="1:59" x14ac:dyDescent="0.2">
      <c r="BD80" s="1">
        <v>3.4</v>
      </c>
      <c r="BE80" s="31">
        <v>3.6</v>
      </c>
      <c r="BF80">
        <v>3.4</v>
      </c>
      <c r="BG80">
        <v>3.8</v>
      </c>
    </row>
    <row r="81" spans="56:59" x14ac:dyDescent="0.2">
      <c r="BD81" s="1">
        <v>3.9</v>
      </c>
      <c r="BE81" s="31">
        <v>4.2</v>
      </c>
      <c r="BF81">
        <v>3.9</v>
      </c>
      <c r="BG81">
        <v>4.4000000000000004</v>
      </c>
    </row>
    <row r="82" spans="56:59" x14ac:dyDescent="0.2">
      <c r="BD82" s="1">
        <v>4.9000000000000004</v>
      </c>
      <c r="BE82" s="31">
        <v>4.9000000000000004</v>
      </c>
      <c r="BF82" s="4">
        <v>6.9</v>
      </c>
      <c r="BG82" s="4">
        <v>6.7</v>
      </c>
    </row>
    <row r="83" spans="56:59" x14ac:dyDescent="0.2">
      <c r="BD83" s="1">
        <v>4.3</v>
      </c>
      <c r="BE83" s="31">
        <v>4.5</v>
      </c>
      <c r="BF83">
        <v>5.3</v>
      </c>
      <c r="BG83">
        <v>4.8</v>
      </c>
    </row>
    <row r="84" spans="56:59" x14ac:dyDescent="0.2">
      <c r="BD84" s="35">
        <v>8.6</v>
      </c>
      <c r="BE84" s="31">
        <v>8.5</v>
      </c>
      <c r="BF84" s="7">
        <v>8.3000000000000007</v>
      </c>
      <c r="BG84" s="7">
        <v>8.4</v>
      </c>
    </row>
    <row r="85" spans="56:59" x14ac:dyDescent="0.2">
      <c r="BD85" s="35">
        <v>6.1</v>
      </c>
      <c r="BE85" s="31">
        <v>6</v>
      </c>
      <c r="BF85" s="4">
        <v>7.4</v>
      </c>
      <c r="BG85" s="4">
        <v>7.3</v>
      </c>
    </row>
    <row r="86" spans="56:59" x14ac:dyDescent="0.2">
      <c r="BD86" s="1">
        <v>4.0999999999999996</v>
      </c>
      <c r="BE86" s="31">
        <v>4.3</v>
      </c>
      <c r="BF86">
        <v>3.9</v>
      </c>
      <c r="BG86">
        <v>3.9</v>
      </c>
    </row>
    <row r="87" spans="56:59" x14ac:dyDescent="0.2">
      <c r="BD87" s="1">
        <v>3.6</v>
      </c>
      <c r="BE87" s="31">
        <v>3.8</v>
      </c>
      <c r="BF87">
        <v>4.4000000000000004</v>
      </c>
      <c r="BG87">
        <v>4.2</v>
      </c>
    </row>
    <row r="88" spans="56:59" x14ac:dyDescent="0.2">
      <c r="BD88" s="35">
        <v>4.5</v>
      </c>
      <c r="BE88" s="31">
        <v>4.4000000000000004</v>
      </c>
      <c r="BF88">
        <v>4.5999999999999996</v>
      </c>
      <c r="BG88">
        <v>4.7</v>
      </c>
    </row>
    <row r="89" spans="56:59" x14ac:dyDescent="0.2">
      <c r="BD89" s="35">
        <v>4.8</v>
      </c>
      <c r="BE89" s="31">
        <v>4.8</v>
      </c>
      <c r="BF89" s="7">
        <v>4.9000000000000004</v>
      </c>
      <c r="BG89" s="7">
        <v>4.9000000000000004</v>
      </c>
    </row>
    <row r="90" spans="56:59" x14ac:dyDescent="0.2">
      <c r="BD90" s="1">
        <v>3.8</v>
      </c>
      <c r="BE90" s="31">
        <v>4.0999999999999996</v>
      </c>
      <c r="BF90" s="7">
        <v>5.2</v>
      </c>
      <c r="BG90" s="7">
        <v>4.9000000000000004</v>
      </c>
    </row>
    <row r="91" spans="56:59" x14ac:dyDescent="0.2">
      <c r="BD91" s="9">
        <v>5</v>
      </c>
      <c r="BE91" s="32">
        <v>4.9000000000000004</v>
      </c>
      <c r="BF91" s="8">
        <v>4.4000000000000004</v>
      </c>
      <c r="BG91" s="8">
        <v>4.5</v>
      </c>
    </row>
    <row r="92" spans="56:59" x14ac:dyDescent="0.2">
      <c r="BD92" s="1">
        <v>4.8</v>
      </c>
      <c r="BE92" s="31">
        <v>4.4000000000000004</v>
      </c>
      <c r="BF92">
        <v>4.5</v>
      </c>
      <c r="BG92">
        <v>4.8</v>
      </c>
    </row>
    <row r="93" spans="56:59" x14ac:dyDescent="0.2">
      <c r="BD93" s="1">
        <v>5</v>
      </c>
      <c r="BE93" s="31">
        <v>5</v>
      </c>
      <c r="BF93">
        <v>5.6</v>
      </c>
      <c r="BG93">
        <v>5.2</v>
      </c>
    </row>
    <row r="94" spans="56:59" x14ac:dyDescent="0.2">
      <c r="BD94" s="35">
        <v>5.7</v>
      </c>
      <c r="BE94" s="31">
        <v>5.2</v>
      </c>
      <c r="BF94" s="4">
        <v>9.9</v>
      </c>
      <c r="BG94" s="4">
        <v>8.4</v>
      </c>
    </row>
    <row r="95" spans="56:59" x14ac:dyDescent="0.2">
      <c r="BD95" s="1">
        <v>3.7</v>
      </c>
      <c r="BE95" s="31">
        <v>3.8</v>
      </c>
      <c r="BF95" s="4">
        <v>14.2</v>
      </c>
      <c r="BG95" s="4">
        <v>14.5</v>
      </c>
    </row>
    <row r="96" spans="56:59" x14ac:dyDescent="0.2">
      <c r="BD96" s="1">
        <v>5.8</v>
      </c>
      <c r="BE96" s="31">
        <v>6.5</v>
      </c>
      <c r="BF96">
        <v>4</v>
      </c>
      <c r="BG96">
        <v>3.9</v>
      </c>
    </row>
    <row r="97" spans="56:59" x14ac:dyDescent="0.2">
      <c r="BD97" s="1">
        <v>7</v>
      </c>
      <c r="BE97" s="31">
        <v>6.7</v>
      </c>
      <c r="BF97">
        <v>15.9</v>
      </c>
      <c r="BG97">
        <v>15.6</v>
      </c>
    </row>
    <row r="98" spans="56:59" x14ac:dyDescent="0.2">
      <c r="BD98" s="1">
        <v>5.6</v>
      </c>
      <c r="BE98" s="31">
        <v>5.5</v>
      </c>
      <c r="BF98" s="7">
        <v>7.7</v>
      </c>
      <c r="BG98" s="7">
        <v>7.4</v>
      </c>
    </row>
    <row r="99" spans="56:59" x14ac:dyDescent="0.2">
      <c r="BD99" s="1">
        <v>4.7</v>
      </c>
      <c r="BE99" s="31">
        <v>4.9000000000000004</v>
      </c>
      <c r="BF99" s="4">
        <v>11.7</v>
      </c>
      <c r="BG99" s="4">
        <v>12.1</v>
      </c>
    </row>
    <row r="100" spans="56:59" x14ac:dyDescent="0.2">
      <c r="BD100" s="1">
        <v>3.8</v>
      </c>
      <c r="BE100" s="31">
        <v>4</v>
      </c>
      <c r="BF100">
        <v>6.1</v>
      </c>
      <c r="BG100">
        <v>6.6</v>
      </c>
    </row>
    <row r="101" spans="56:59" x14ac:dyDescent="0.2">
      <c r="BD101" s="1">
        <v>4.2</v>
      </c>
      <c r="BE101" s="31">
        <v>4.2</v>
      </c>
      <c r="BF101">
        <v>6</v>
      </c>
      <c r="BG101">
        <v>5.4</v>
      </c>
    </row>
    <row r="102" spans="56:59" x14ac:dyDescent="0.2">
      <c r="BD102" s="1">
        <v>4.5</v>
      </c>
      <c r="BE102" s="31">
        <v>4.5999999999999996</v>
      </c>
      <c r="BF102">
        <v>4.5999999999999996</v>
      </c>
      <c r="BG102">
        <v>4.7</v>
      </c>
    </row>
    <row r="103" spans="56:59" x14ac:dyDescent="0.2">
      <c r="BD103" s="1">
        <v>4.5999999999999996</v>
      </c>
      <c r="BE103" s="31">
        <v>5</v>
      </c>
      <c r="BF103">
        <v>4.4000000000000004</v>
      </c>
      <c r="BG103">
        <v>4.5</v>
      </c>
    </row>
    <row r="104" spans="56:59" x14ac:dyDescent="0.2">
      <c r="BD104" s="1">
        <v>4</v>
      </c>
      <c r="BE104" s="31">
        <v>3.7</v>
      </c>
      <c r="BF104">
        <v>4.5</v>
      </c>
      <c r="BG104">
        <v>4.4000000000000004</v>
      </c>
    </row>
    <row r="105" spans="56:59" x14ac:dyDescent="0.2">
      <c r="BD105" s="1">
        <v>3.3</v>
      </c>
      <c r="BE105" s="31">
        <v>3.3</v>
      </c>
      <c r="BF105">
        <v>3.7</v>
      </c>
      <c r="BG105">
        <v>4</v>
      </c>
    </row>
    <row r="106" spans="56:59" x14ac:dyDescent="0.2">
      <c r="BD106" s="1">
        <v>3.6</v>
      </c>
      <c r="BE106" s="31">
        <v>3.5</v>
      </c>
      <c r="BF106">
        <v>4</v>
      </c>
      <c r="BG106">
        <v>4</v>
      </c>
    </row>
    <row r="107" spans="56:59" x14ac:dyDescent="0.2">
      <c r="BD107" s="1">
        <v>4.5</v>
      </c>
      <c r="BE107" s="31">
        <v>4.5999999999999996</v>
      </c>
      <c r="BF107">
        <v>4</v>
      </c>
      <c r="BG107">
        <v>4.5</v>
      </c>
    </row>
    <row r="108" spans="56:59" x14ac:dyDescent="0.2">
      <c r="BD108" s="1">
        <v>3.6</v>
      </c>
      <c r="BE108" s="31">
        <v>3.5</v>
      </c>
      <c r="BF108">
        <v>3.7</v>
      </c>
      <c r="BG108">
        <v>3.8</v>
      </c>
    </row>
    <row r="109" spans="56:59" x14ac:dyDescent="0.2">
      <c r="BD109" s="1">
        <v>3.7</v>
      </c>
      <c r="BE109" s="31">
        <v>3.8</v>
      </c>
      <c r="BF109">
        <v>4.2</v>
      </c>
      <c r="BG109">
        <v>4.4000000000000004</v>
      </c>
    </row>
    <row r="110" spans="56:59" x14ac:dyDescent="0.2">
      <c r="BD110" s="36">
        <v>6.1</v>
      </c>
      <c r="BE110" s="31">
        <v>6.1</v>
      </c>
      <c r="BF110" s="4">
        <v>7.2</v>
      </c>
      <c r="BG110" s="4">
        <v>6.9</v>
      </c>
    </row>
    <row r="111" spans="56:59" x14ac:dyDescent="0.2">
      <c r="BD111" s="36">
        <v>5.8</v>
      </c>
      <c r="BE111" s="31">
        <v>6</v>
      </c>
      <c r="BF111" s="4">
        <v>7.9</v>
      </c>
      <c r="BG111" s="4">
        <v>7.4</v>
      </c>
    </row>
    <row r="112" spans="56:59" x14ac:dyDescent="0.2">
      <c r="BD112" s="1">
        <v>4.4000000000000004</v>
      </c>
      <c r="BE112" s="31">
        <v>4.2</v>
      </c>
      <c r="BF112" s="7">
        <v>6.1</v>
      </c>
      <c r="BG112" s="7">
        <v>6.5</v>
      </c>
    </row>
    <row r="113" spans="56:59" x14ac:dyDescent="0.2">
      <c r="BD113" s="1">
        <v>7.5</v>
      </c>
      <c r="BE113" s="31">
        <v>7.3</v>
      </c>
      <c r="BF113" s="7">
        <v>7.2</v>
      </c>
      <c r="BG113" s="7">
        <v>7</v>
      </c>
    </row>
    <row r="114" spans="56:59" x14ac:dyDescent="0.2">
      <c r="BD114" s="1">
        <v>4.2</v>
      </c>
      <c r="BE114" s="31">
        <v>4.2</v>
      </c>
      <c r="BF114">
        <v>3.5</v>
      </c>
      <c r="BG114">
        <v>3.5</v>
      </c>
    </row>
    <row r="115" spans="56:59" x14ac:dyDescent="0.2">
      <c r="BD115" s="1">
        <v>3.6</v>
      </c>
      <c r="BE115" s="31">
        <v>3.6</v>
      </c>
      <c r="BF115">
        <v>3.6</v>
      </c>
      <c r="BG115">
        <v>3.4</v>
      </c>
    </row>
    <row r="116" spans="56:59" x14ac:dyDescent="0.2">
      <c r="BD116" s="1">
        <v>5.0999999999999996</v>
      </c>
      <c r="BE116" s="31">
        <v>4.9000000000000004</v>
      </c>
      <c r="BF116">
        <v>7.2</v>
      </c>
      <c r="BG116" s="7">
        <v>8</v>
      </c>
    </row>
    <row r="117" spans="56:59" x14ac:dyDescent="0.2">
      <c r="BD117" s="1">
        <v>4.5</v>
      </c>
      <c r="BE117" s="31">
        <v>4.5</v>
      </c>
      <c r="BF117">
        <v>5.5</v>
      </c>
      <c r="BG117">
        <v>6.1</v>
      </c>
    </row>
    <row r="118" spans="56:59" x14ac:dyDescent="0.2">
      <c r="BD118" s="1">
        <v>4.5</v>
      </c>
      <c r="BE118" s="31">
        <v>4.5999999999999996</v>
      </c>
      <c r="BF118">
        <v>3.7</v>
      </c>
      <c r="BG118">
        <v>3.9</v>
      </c>
    </row>
    <row r="119" spans="56:59" x14ac:dyDescent="0.2">
      <c r="BD119" s="1">
        <v>4.4000000000000004</v>
      </c>
      <c r="BE119" s="31">
        <v>4.7</v>
      </c>
      <c r="BF119">
        <v>4.5999999999999996</v>
      </c>
      <c r="BG119">
        <v>4.7</v>
      </c>
    </row>
    <row r="120" spans="56:59" x14ac:dyDescent="0.2">
      <c r="BD120" s="1">
        <v>3.7</v>
      </c>
      <c r="BE120" s="31">
        <v>3.9</v>
      </c>
      <c r="BF120">
        <v>6.3</v>
      </c>
      <c r="BG120">
        <v>6.2</v>
      </c>
    </row>
    <row r="121" spans="56:59" x14ac:dyDescent="0.2">
      <c r="BD121" s="1">
        <v>5.0999999999999996</v>
      </c>
      <c r="BE121" s="31">
        <v>5.2</v>
      </c>
      <c r="BF121">
        <v>5.9</v>
      </c>
      <c r="BG121">
        <v>6</v>
      </c>
    </row>
    <row r="122" spans="56:59" x14ac:dyDescent="0.2">
      <c r="BD122" s="1">
        <v>4.5999999999999996</v>
      </c>
      <c r="BE122" s="31">
        <v>4.4000000000000004</v>
      </c>
      <c r="BF122">
        <v>3.7</v>
      </c>
      <c r="BG122" s="7">
        <v>3.9</v>
      </c>
    </row>
    <row r="123" spans="56:59" x14ac:dyDescent="0.2">
      <c r="BD123" s="1">
        <v>3.7</v>
      </c>
      <c r="BE123" s="31">
        <v>3.8</v>
      </c>
      <c r="BF123" s="7">
        <v>6.8</v>
      </c>
      <c r="BG123" s="7">
        <v>6.8</v>
      </c>
    </row>
    <row r="124" spans="56:59" x14ac:dyDescent="0.2">
      <c r="BD124" s="1">
        <v>4.5</v>
      </c>
      <c r="BE124" s="31">
        <v>4.9000000000000004</v>
      </c>
      <c r="BF124" s="7">
        <v>5.2</v>
      </c>
      <c r="BG124" s="7">
        <v>4.3</v>
      </c>
    </row>
    <row r="125" spans="56:59" x14ac:dyDescent="0.2">
      <c r="BD125" s="1">
        <v>4.3</v>
      </c>
      <c r="BE125" s="31">
        <v>4.5</v>
      </c>
      <c r="BF125">
        <v>3.3</v>
      </c>
      <c r="BG125">
        <v>3.1</v>
      </c>
    </row>
    <row r="126" spans="56:59" x14ac:dyDescent="0.2">
      <c r="BD126" s="1">
        <v>4.5999999999999996</v>
      </c>
      <c r="BE126" s="31">
        <v>4.0999999999999996</v>
      </c>
      <c r="BF126" s="7">
        <v>6</v>
      </c>
      <c r="BG126" s="7">
        <v>7.2</v>
      </c>
    </row>
    <row r="127" spans="56:59" x14ac:dyDescent="0.2">
      <c r="BD127" s="1">
        <v>6</v>
      </c>
      <c r="BE127" s="31">
        <v>6.4</v>
      </c>
      <c r="BF127" s="7">
        <v>6.8</v>
      </c>
      <c r="BG127">
        <v>5.7</v>
      </c>
    </row>
    <row r="128" spans="56:59" x14ac:dyDescent="0.2">
      <c r="BD128" s="1">
        <v>4.7</v>
      </c>
      <c r="BE128" s="31">
        <v>4.9000000000000004</v>
      </c>
      <c r="BF128">
        <v>5</v>
      </c>
      <c r="BG128">
        <v>4.9000000000000004</v>
      </c>
    </row>
    <row r="129" spans="56:59" x14ac:dyDescent="0.2">
      <c r="BD129" s="1">
        <v>5.2</v>
      </c>
      <c r="BE129" s="31">
        <v>5.4</v>
      </c>
      <c r="BF129">
        <v>5.4</v>
      </c>
      <c r="BG129">
        <v>5.0999999999999996</v>
      </c>
    </row>
    <row r="130" spans="56:59" x14ac:dyDescent="0.2">
      <c r="BD130" s="37">
        <v>6.9</v>
      </c>
      <c r="BE130" s="31">
        <v>6.7</v>
      </c>
      <c r="BF130">
        <v>5.7</v>
      </c>
      <c r="BG130">
        <v>5.7</v>
      </c>
    </row>
    <row r="131" spans="56:59" x14ac:dyDescent="0.2">
      <c r="BD131" s="1">
        <v>3.8</v>
      </c>
      <c r="BE131" s="31">
        <v>3.7</v>
      </c>
      <c r="BF131">
        <v>5.2</v>
      </c>
      <c r="BG131">
        <v>5</v>
      </c>
    </row>
    <row r="132" spans="56:59" x14ac:dyDescent="0.2">
      <c r="BD132" s="1">
        <v>4.0999999999999996</v>
      </c>
      <c r="BE132" s="31">
        <v>4.2</v>
      </c>
      <c r="BF132" s="4">
        <v>5.8</v>
      </c>
      <c r="BG132" s="4">
        <v>6.1</v>
      </c>
    </row>
    <row r="133" spans="56:59" x14ac:dyDescent="0.2">
      <c r="BD133" s="1">
        <v>4.3</v>
      </c>
      <c r="BE133" s="31">
        <v>4.4000000000000004</v>
      </c>
      <c r="BF133">
        <v>5</v>
      </c>
      <c r="BG133">
        <v>4.4000000000000004</v>
      </c>
    </row>
    <row r="134" spans="56:59" x14ac:dyDescent="0.2">
      <c r="BD134" s="1">
        <v>3.6</v>
      </c>
      <c r="BE134" s="31">
        <v>3.4</v>
      </c>
      <c r="BF134">
        <v>4.2</v>
      </c>
      <c r="BG134">
        <v>4.0999999999999996</v>
      </c>
    </row>
    <row r="135" spans="56:59" x14ac:dyDescent="0.2">
      <c r="BD135" s="1">
        <v>4.2</v>
      </c>
      <c r="BE135" s="31">
        <v>4.2</v>
      </c>
      <c r="BF135" s="4">
        <v>9.1</v>
      </c>
      <c r="BG135" s="4">
        <v>8.5</v>
      </c>
    </row>
    <row r="136" spans="56:59" x14ac:dyDescent="0.2">
      <c r="BD136" s="1">
        <v>5</v>
      </c>
      <c r="BE136" s="31">
        <v>4.7</v>
      </c>
      <c r="BF136">
        <v>4.7</v>
      </c>
      <c r="BG136">
        <v>4.3</v>
      </c>
    </row>
    <row r="137" spans="56:59" x14ac:dyDescent="0.2">
      <c r="BD137" s="1">
        <v>6.2</v>
      </c>
      <c r="BE137" s="31">
        <v>5.7</v>
      </c>
      <c r="BF137">
        <v>3.5</v>
      </c>
      <c r="BG137">
        <v>3.7</v>
      </c>
    </row>
    <row r="138" spans="56:59" x14ac:dyDescent="0.2">
      <c r="BD138" s="1">
        <v>3.4</v>
      </c>
      <c r="BE138" s="31">
        <v>3.3</v>
      </c>
      <c r="BF138">
        <v>6.8</v>
      </c>
      <c r="BG138">
        <v>6.3</v>
      </c>
    </row>
    <row r="139" spans="56:59" x14ac:dyDescent="0.2">
      <c r="BD139" s="1">
        <v>3.9</v>
      </c>
      <c r="BE139" s="31">
        <v>3.8</v>
      </c>
      <c r="BF139" s="4">
        <v>6.2</v>
      </c>
      <c r="BG139" s="4">
        <v>7</v>
      </c>
    </row>
    <row r="140" spans="56:59" x14ac:dyDescent="0.2">
      <c r="BD140" s="37">
        <v>6.9</v>
      </c>
      <c r="BE140" s="31">
        <v>7.3</v>
      </c>
      <c r="BF140">
        <v>3.8</v>
      </c>
      <c r="BG140">
        <v>3.5</v>
      </c>
    </row>
    <row r="141" spans="56:59" x14ac:dyDescent="0.2">
      <c r="BD141" s="1">
        <v>5.3</v>
      </c>
      <c r="BE141" s="31">
        <v>5.3</v>
      </c>
      <c r="BF141">
        <v>4.5999999999999996</v>
      </c>
      <c r="BG141">
        <v>4.5</v>
      </c>
    </row>
    <row r="142" spans="56:59" x14ac:dyDescent="0.2">
      <c r="BD142" s="35">
        <v>8.3000000000000007</v>
      </c>
      <c r="BE142" s="31">
        <v>7.9</v>
      </c>
      <c r="BF142" s="7">
        <v>5.3</v>
      </c>
      <c r="BG142" s="7">
        <v>5.6</v>
      </c>
    </row>
    <row r="143" spans="56:59" x14ac:dyDescent="0.2">
      <c r="BD143" s="37">
        <v>7.4</v>
      </c>
      <c r="BE143" s="31">
        <v>7.4</v>
      </c>
      <c r="BF143" s="7">
        <v>6.4</v>
      </c>
      <c r="BG143" s="7">
        <v>6.1</v>
      </c>
    </row>
    <row r="144" spans="56:59" x14ac:dyDescent="0.2">
      <c r="BD144" s="1">
        <v>3.9</v>
      </c>
      <c r="BE144" s="31">
        <v>4.4000000000000004</v>
      </c>
      <c r="BF144" s="4">
        <v>9.4</v>
      </c>
      <c r="BG144" s="4">
        <v>9.1</v>
      </c>
    </row>
    <row r="145" spans="56:59" x14ac:dyDescent="0.2">
      <c r="BD145" s="1">
        <v>4.4000000000000004</v>
      </c>
      <c r="BE145" s="31">
        <v>4.4000000000000004</v>
      </c>
      <c r="BF145" s="4">
        <v>6.4</v>
      </c>
      <c r="BG145" s="4">
        <v>6.2</v>
      </c>
    </row>
    <row r="146" spans="56:59" x14ac:dyDescent="0.2">
      <c r="BD146" s="1">
        <v>4.5999999999999996</v>
      </c>
      <c r="BE146" s="31">
        <v>4.7</v>
      </c>
      <c r="BF146">
        <v>5.4</v>
      </c>
      <c r="BG146">
        <v>5.8</v>
      </c>
    </row>
    <row r="147" spans="56:59" x14ac:dyDescent="0.2">
      <c r="BD147" s="35">
        <v>4.9000000000000004</v>
      </c>
      <c r="BE147" s="31">
        <v>5.0999999999999996</v>
      </c>
      <c r="BF147" s="7">
        <v>5.8</v>
      </c>
      <c r="BG147" s="7">
        <v>5.5</v>
      </c>
    </row>
    <row r="148" spans="56:59" x14ac:dyDescent="0.2">
      <c r="BD148" s="35">
        <v>5.2</v>
      </c>
      <c r="BE148" s="31">
        <v>5.0999999999999996</v>
      </c>
      <c r="BF148" s="7">
        <v>5.5</v>
      </c>
      <c r="BG148" s="7">
        <v>5.2</v>
      </c>
    </row>
    <row r="149" spans="56:59" x14ac:dyDescent="0.2">
      <c r="BD149" s="9">
        <v>4.4000000000000004</v>
      </c>
      <c r="BE149" s="32">
        <v>3.9</v>
      </c>
      <c r="BF149" s="12">
        <v>5.4</v>
      </c>
      <c r="BG149" s="12">
        <v>5.4</v>
      </c>
    </row>
    <row r="150" spans="56:59" x14ac:dyDescent="0.2">
      <c r="BD150" s="1">
        <v>4.5</v>
      </c>
      <c r="BE150" s="31">
        <v>4.5999999999999996</v>
      </c>
      <c r="BF150">
        <v>4.2</v>
      </c>
      <c r="BG150">
        <v>4.5</v>
      </c>
    </row>
    <row r="151" spans="56:59" x14ac:dyDescent="0.2">
      <c r="BD151" s="1">
        <v>5.6</v>
      </c>
      <c r="BE151" s="31">
        <v>5.9</v>
      </c>
      <c r="BF151">
        <v>5.7</v>
      </c>
      <c r="BG151">
        <v>5.0999999999999996</v>
      </c>
    </row>
    <row r="152" spans="56:59" x14ac:dyDescent="0.2">
      <c r="BD152" s="37">
        <v>9.9</v>
      </c>
      <c r="BE152" s="31">
        <v>8.5</v>
      </c>
      <c r="BF152" s="4">
        <v>8.1</v>
      </c>
      <c r="BG152" s="4">
        <v>8.1999999999999993</v>
      </c>
    </row>
    <row r="153" spans="56:59" x14ac:dyDescent="0.2">
      <c r="BD153" s="37">
        <v>14.2</v>
      </c>
      <c r="BE153" s="31">
        <v>13.1</v>
      </c>
      <c r="BF153" s="4">
        <v>13.3</v>
      </c>
      <c r="BG153" s="4">
        <v>12.8</v>
      </c>
    </row>
    <row r="154" spans="56:59" x14ac:dyDescent="0.2">
      <c r="BD154" s="1">
        <v>4</v>
      </c>
      <c r="BE154" s="31">
        <v>4</v>
      </c>
      <c r="BF154">
        <v>3.6</v>
      </c>
      <c r="BG154">
        <v>3.9</v>
      </c>
    </row>
    <row r="155" spans="56:59" x14ac:dyDescent="0.2">
      <c r="BD155" s="1">
        <v>15.9</v>
      </c>
      <c r="BE155" s="31">
        <v>16.100000000000001</v>
      </c>
      <c r="BF155">
        <v>14.3</v>
      </c>
      <c r="BG155">
        <v>15.4</v>
      </c>
    </row>
    <row r="156" spans="56:59" x14ac:dyDescent="0.2">
      <c r="BD156" s="35">
        <v>7.7</v>
      </c>
      <c r="BE156" s="31">
        <v>7.2</v>
      </c>
      <c r="BF156" s="4">
        <v>6.4</v>
      </c>
      <c r="BG156" s="4">
        <v>6.2</v>
      </c>
    </row>
    <row r="157" spans="56:59" x14ac:dyDescent="0.2">
      <c r="BD157" s="37">
        <v>11.7</v>
      </c>
      <c r="BE157" s="31">
        <v>12</v>
      </c>
      <c r="BF157" s="4">
        <v>10.8</v>
      </c>
      <c r="BG157" s="4">
        <v>10.6</v>
      </c>
    </row>
    <row r="158" spans="56:59" x14ac:dyDescent="0.2">
      <c r="BD158" s="1">
        <v>6.1</v>
      </c>
      <c r="BE158" s="31">
        <v>6.2</v>
      </c>
      <c r="BF158">
        <v>6.1</v>
      </c>
      <c r="BG158">
        <v>5.8</v>
      </c>
    </row>
    <row r="159" spans="56:59" x14ac:dyDescent="0.2">
      <c r="BD159" s="1">
        <v>6</v>
      </c>
      <c r="BE159" s="31">
        <v>6.1</v>
      </c>
      <c r="BF159">
        <v>6.4</v>
      </c>
      <c r="BG159">
        <v>6.2</v>
      </c>
    </row>
    <row r="160" spans="56:59" x14ac:dyDescent="0.2">
      <c r="BD160" s="1">
        <v>4.5999999999999996</v>
      </c>
      <c r="BE160" s="31">
        <v>4.4000000000000004</v>
      </c>
      <c r="BF160">
        <v>3.4</v>
      </c>
      <c r="BG160">
        <v>4.0999999999999996</v>
      </c>
    </row>
    <row r="161" spans="56:59" x14ac:dyDescent="0.2">
      <c r="BD161" s="1">
        <v>4.4000000000000004</v>
      </c>
      <c r="BE161" s="31">
        <v>4.3</v>
      </c>
      <c r="BF161" s="7">
        <v>5.2</v>
      </c>
      <c r="BG161" s="7">
        <v>5.6</v>
      </c>
    </row>
    <row r="162" spans="56:59" x14ac:dyDescent="0.2">
      <c r="BD162" s="1">
        <v>4.5</v>
      </c>
      <c r="BE162" s="31">
        <v>4.0999999999999996</v>
      </c>
      <c r="BF162">
        <v>4.0999999999999996</v>
      </c>
      <c r="BG162">
        <v>4.4000000000000004</v>
      </c>
    </row>
    <row r="163" spans="56:59" x14ac:dyDescent="0.2">
      <c r="BD163" s="1">
        <v>3.7</v>
      </c>
      <c r="BE163" s="31">
        <v>3.9</v>
      </c>
      <c r="BF163">
        <v>4</v>
      </c>
      <c r="BG163">
        <v>4</v>
      </c>
    </row>
    <row r="164" spans="56:59" x14ac:dyDescent="0.2">
      <c r="BD164" s="1">
        <v>4</v>
      </c>
      <c r="BE164" s="31">
        <v>4.3</v>
      </c>
      <c r="BF164">
        <v>4</v>
      </c>
      <c r="BG164">
        <v>4.7</v>
      </c>
    </row>
    <row r="165" spans="56:59" x14ac:dyDescent="0.2">
      <c r="BD165" s="1">
        <v>4</v>
      </c>
      <c r="BE165" s="31">
        <v>4.4000000000000004</v>
      </c>
      <c r="BF165">
        <v>3.7</v>
      </c>
      <c r="BG165">
        <v>4</v>
      </c>
    </row>
    <row r="166" spans="56:59" x14ac:dyDescent="0.2">
      <c r="BD166" s="1">
        <v>3.7</v>
      </c>
      <c r="BE166" s="31">
        <v>3.7</v>
      </c>
      <c r="BF166">
        <v>3.4</v>
      </c>
      <c r="BG166">
        <v>3.5</v>
      </c>
    </row>
    <row r="167" spans="56:59" x14ac:dyDescent="0.2">
      <c r="BD167" s="1">
        <v>4.2</v>
      </c>
      <c r="BE167" s="31">
        <v>4.3</v>
      </c>
      <c r="BF167" s="7">
        <v>4.8</v>
      </c>
      <c r="BG167" s="7">
        <v>4.4000000000000004</v>
      </c>
    </row>
    <row r="168" spans="56:59" x14ac:dyDescent="0.2">
      <c r="BD168" s="37">
        <v>7.2</v>
      </c>
      <c r="BE168" s="31">
        <v>7.1</v>
      </c>
      <c r="BF168" s="4">
        <v>7.2</v>
      </c>
      <c r="BG168" s="4">
        <v>6.9</v>
      </c>
    </row>
    <row r="169" spans="56:59" x14ac:dyDescent="0.2">
      <c r="BD169" s="37">
        <v>7.9</v>
      </c>
      <c r="BE169" s="31">
        <v>8.1</v>
      </c>
      <c r="BF169" s="4">
        <v>7.5</v>
      </c>
      <c r="BG169" s="4">
        <v>7.9</v>
      </c>
    </row>
    <row r="170" spans="56:59" x14ac:dyDescent="0.2">
      <c r="BD170" s="35">
        <v>6.1</v>
      </c>
      <c r="BE170" s="31">
        <v>6.4</v>
      </c>
      <c r="BF170" s="7">
        <v>5.8</v>
      </c>
      <c r="BG170" s="7">
        <v>6.3</v>
      </c>
    </row>
    <row r="171" spans="56:59" x14ac:dyDescent="0.2">
      <c r="BD171" s="35">
        <v>7.2</v>
      </c>
      <c r="BE171" s="31">
        <v>7.4</v>
      </c>
      <c r="BF171" s="4">
        <v>9.4</v>
      </c>
      <c r="BG171" s="4">
        <v>9.4</v>
      </c>
    </row>
    <row r="172" spans="56:59" x14ac:dyDescent="0.2">
      <c r="BD172" s="1">
        <v>3.5</v>
      </c>
      <c r="BE172" s="31">
        <v>3.5</v>
      </c>
      <c r="BF172">
        <v>3.7</v>
      </c>
      <c r="BG172">
        <v>4.0999999999999996</v>
      </c>
    </row>
    <row r="173" spans="56:59" x14ac:dyDescent="0.2">
      <c r="BD173" s="1">
        <v>3.6</v>
      </c>
      <c r="BE173" s="31">
        <v>3.8</v>
      </c>
      <c r="BF173">
        <v>3.1</v>
      </c>
      <c r="BG173">
        <v>3.2</v>
      </c>
    </row>
    <row r="174" spans="56:59" x14ac:dyDescent="0.2">
      <c r="BD174" s="1">
        <v>7.2</v>
      </c>
      <c r="BE174" s="31">
        <v>6.8</v>
      </c>
      <c r="BF174" s="4">
        <v>5.8</v>
      </c>
      <c r="BG174" s="4">
        <v>6.7</v>
      </c>
    </row>
    <row r="175" spans="56:59" x14ac:dyDescent="0.2">
      <c r="BD175" s="1">
        <v>5.5</v>
      </c>
      <c r="BE175" s="31">
        <v>5.5</v>
      </c>
      <c r="BF175" s="4">
        <v>6.1</v>
      </c>
      <c r="BG175" s="4">
        <v>6.3</v>
      </c>
    </row>
    <row r="176" spans="56:59" x14ac:dyDescent="0.2">
      <c r="BD176" s="1">
        <v>3.7</v>
      </c>
      <c r="BE176" s="31">
        <v>3.7</v>
      </c>
      <c r="BF176">
        <v>3.5</v>
      </c>
      <c r="BG176">
        <v>3.5</v>
      </c>
    </row>
    <row r="177" spans="56:59" x14ac:dyDescent="0.2">
      <c r="BD177" s="1">
        <v>4.5999999999999996</v>
      </c>
      <c r="BE177" s="31">
        <v>4.7</v>
      </c>
      <c r="BF177">
        <v>4.5</v>
      </c>
      <c r="BG177">
        <v>3.8</v>
      </c>
    </row>
    <row r="178" spans="56:59" x14ac:dyDescent="0.2">
      <c r="BD178" s="1">
        <v>4.5999999999999996</v>
      </c>
      <c r="BE178" s="31">
        <v>4.8</v>
      </c>
      <c r="BF178" s="31">
        <v>4.3</v>
      </c>
      <c r="BG178" s="31">
        <v>4.4000000000000004</v>
      </c>
    </row>
    <row r="179" spans="56:59" x14ac:dyDescent="0.2">
      <c r="BD179" s="1">
        <v>4.5</v>
      </c>
      <c r="BE179" s="31">
        <v>4.4000000000000004</v>
      </c>
      <c r="BF179" s="31">
        <v>4.3</v>
      </c>
      <c r="BG179" s="31">
        <v>4.5999999999999996</v>
      </c>
    </row>
    <row r="180" spans="56:59" x14ac:dyDescent="0.2">
      <c r="BD180" s="1">
        <v>3.6</v>
      </c>
      <c r="BE180" s="31">
        <v>3.9</v>
      </c>
      <c r="BF180" s="31">
        <v>3.6</v>
      </c>
      <c r="BG180" s="31">
        <v>3.7</v>
      </c>
    </row>
    <row r="181" spans="56:59" x14ac:dyDescent="0.2">
      <c r="BD181" s="1">
        <v>5.3</v>
      </c>
      <c r="BE181" s="31">
        <v>5.3</v>
      </c>
      <c r="BF181" s="31">
        <v>5.0999999999999996</v>
      </c>
      <c r="BG181" s="31">
        <v>5.2</v>
      </c>
    </row>
    <row r="182" spans="56:59" x14ac:dyDescent="0.2">
      <c r="BD182" s="35">
        <v>5.3</v>
      </c>
      <c r="BE182" s="31">
        <v>4.4000000000000004</v>
      </c>
      <c r="BF182" s="31">
        <v>3.6</v>
      </c>
      <c r="BG182" s="31">
        <v>4.3</v>
      </c>
    </row>
    <row r="183" spans="56:59" x14ac:dyDescent="0.2">
      <c r="BD183" s="1">
        <v>4</v>
      </c>
      <c r="BE183" s="31">
        <v>4</v>
      </c>
      <c r="BF183" s="31">
        <v>3</v>
      </c>
      <c r="BG183" s="31">
        <v>3.2</v>
      </c>
    </row>
    <row r="184" spans="56:59" x14ac:dyDescent="0.2">
      <c r="BD184" s="1">
        <v>4.8</v>
      </c>
      <c r="BE184" s="31">
        <v>4.9000000000000004</v>
      </c>
      <c r="BF184" s="31">
        <v>5.0999999999999996</v>
      </c>
      <c r="BG184" s="31">
        <v>4.9000000000000004</v>
      </c>
    </row>
    <row r="185" spans="56:59" x14ac:dyDescent="0.2">
      <c r="BD185" s="1">
        <v>4.5</v>
      </c>
      <c r="BE185" s="31">
        <v>4.8</v>
      </c>
      <c r="BF185" s="31">
        <v>4.7</v>
      </c>
      <c r="BG185" s="31">
        <v>4.5</v>
      </c>
    </row>
    <row r="186" spans="56:59" x14ac:dyDescent="0.2">
      <c r="BD186" s="1">
        <v>4.8</v>
      </c>
      <c r="BE186" s="31">
        <v>5.0999999999999996</v>
      </c>
      <c r="BF186" s="31">
        <v>4.7</v>
      </c>
      <c r="BG186" s="31">
        <v>4.7</v>
      </c>
    </row>
    <row r="187" spans="56:59" x14ac:dyDescent="0.2">
      <c r="BD187" s="1">
        <v>5.8</v>
      </c>
      <c r="BE187" s="31">
        <v>5.8</v>
      </c>
      <c r="BF187" s="31">
        <v>4.5</v>
      </c>
      <c r="BG187" s="31">
        <v>4.7</v>
      </c>
    </row>
    <row r="188" spans="56:59" x14ac:dyDescent="0.2">
      <c r="BD188" s="1">
        <v>4.9000000000000004</v>
      </c>
      <c r="BE188" s="31">
        <v>5</v>
      </c>
      <c r="BF188" s="31">
        <v>5</v>
      </c>
      <c r="BG188" s="31">
        <v>5</v>
      </c>
    </row>
    <row r="189" spans="56:59" x14ac:dyDescent="0.2">
      <c r="BD189" s="1">
        <v>5.4</v>
      </c>
      <c r="BE189" s="31">
        <v>5.7</v>
      </c>
      <c r="BF189" s="31">
        <v>5.5</v>
      </c>
      <c r="BG189" s="31">
        <v>4.3</v>
      </c>
    </row>
    <row r="190" spans="56:59" x14ac:dyDescent="0.2">
      <c r="BD190" s="37">
        <v>6.6</v>
      </c>
      <c r="BE190" s="31">
        <v>7</v>
      </c>
      <c r="BF190" s="31">
        <v>6.6</v>
      </c>
      <c r="BG190" s="31">
        <v>6.4</v>
      </c>
    </row>
    <row r="191" spans="56:59" x14ac:dyDescent="0.2">
      <c r="BD191" s="1">
        <v>3.7</v>
      </c>
      <c r="BE191" s="31">
        <v>3.7</v>
      </c>
      <c r="BF191" s="31">
        <v>4.0999999999999996</v>
      </c>
      <c r="BG191" s="31">
        <v>3.4</v>
      </c>
    </row>
    <row r="192" spans="56:59" x14ac:dyDescent="0.2">
      <c r="BD192" s="1">
        <v>4</v>
      </c>
      <c r="BE192" s="31">
        <v>4.3</v>
      </c>
      <c r="BF192" s="31">
        <v>3.7</v>
      </c>
      <c r="BG192" s="31">
        <v>3.7</v>
      </c>
    </row>
    <row r="193" spans="56:59" x14ac:dyDescent="0.2">
      <c r="BD193" s="1">
        <v>4.8</v>
      </c>
      <c r="BE193" s="31">
        <v>4.7</v>
      </c>
      <c r="BF193" s="31">
        <v>5.2</v>
      </c>
      <c r="BG193" s="31">
        <v>4.8</v>
      </c>
    </row>
    <row r="194" spans="56:59" x14ac:dyDescent="0.2">
      <c r="BD194" s="1">
        <v>3.6</v>
      </c>
      <c r="BE194" s="31">
        <v>3.6</v>
      </c>
      <c r="BF194" s="31">
        <v>3.5</v>
      </c>
      <c r="BG194" s="31">
        <v>3.5</v>
      </c>
    </row>
    <row r="195" spans="56:59" x14ac:dyDescent="0.2">
      <c r="BD195" s="1">
        <v>3.8</v>
      </c>
      <c r="BE195" s="31">
        <v>4</v>
      </c>
      <c r="BF195" s="31">
        <v>5.5</v>
      </c>
      <c r="BG195" s="31">
        <v>5.4</v>
      </c>
    </row>
    <row r="196" spans="56:59" x14ac:dyDescent="0.2">
      <c r="BD196" s="1">
        <v>4.9000000000000004</v>
      </c>
      <c r="BE196" s="31">
        <v>5.0999999999999996</v>
      </c>
      <c r="BF196" s="31">
        <v>8.3000000000000007</v>
      </c>
      <c r="BG196" s="31">
        <v>9</v>
      </c>
    </row>
    <row r="197" spans="56:59" x14ac:dyDescent="0.2">
      <c r="BD197" s="1">
        <v>6.4</v>
      </c>
      <c r="BE197" s="31">
        <v>5.6</v>
      </c>
      <c r="BF197" s="31">
        <v>7</v>
      </c>
      <c r="BG197" s="31">
        <v>7.6</v>
      </c>
    </row>
    <row r="198" spans="56:59" x14ac:dyDescent="0.2">
      <c r="BD198" s="1">
        <v>3.8</v>
      </c>
      <c r="BE198" s="31">
        <v>3.9</v>
      </c>
      <c r="BF198" s="31">
        <v>5.8</v>
      </c>
      <c r="BG198" s="31">
        <v>5.3</v>
      </c>
    </row>
    <row r="199" spans="56:59" x14ac:dyDescent="0.2">
      <c r="BD199" s="1">
        <v>4.4000000000000004</v>
      </c>
      <c r="BE199" s="31">
        <v>4.8</v>
      </c>
      <c r="BF199" s="31">
        <v>9.6</v>
      </c>
      <c r="BG199" s="31">
        <v>8.3000000000000007</v>
      </c>
    </row>
    <row r="200" spans="56:59" x14ac:dyDescent="0.2">
      <c r="BD200" s="37">
        <v>6.7</v>
      </c>
      <c r="BE200" s="31">
        <v>6.8</v>
      </c>
      <c r="BF200" s="31">
        <v>3.7</v>
      </c>
      <c r="BG200" s="31">
        <v>3.6</v>
      </c>
    </row>
    <row r="201" spans="56:59" x14ac:dyDescent="0.2">
      <c r="BD201" s="1">
        <v>4.8</v>
      </c>
      <c r="BE201" s="31">
        <v>5.0999999999999996</v>
      </c>
      <c r="BF201" s="31">
        <v>3.8</v>
      </c>
      <c r="BG201" s="31">
        <v>4.2</v>
      </c>
    </row>
    <row r="202" spans="56:59" x14ac:dyDescent="0.2">
      <c r="BD202" s="35">
        <v>8.4</v>
      </c>
      <c r="BE202" s="31">
        <v>8.4</v>
      </c>
      <c r="BF202" s="31">
        <v>4.7</v>
      </c>
      <c r="BG202" s="31">
        <v>4.9000000000000004</v>
      </c>
    </row>
    <row r="203" spans="56:59" x14ac:dyDescent="0.2">
      <c r="BD203" s="37">
        <v>7.3</v>
      </c>
      <c r="BE203" s="31">
        <v>7.4</v>
      </c>
      <c r="BF203" s="31">
        <v>3.8</v>
      </c>
      <c r="BG203" s="31">
        <v>4.5</v>
      </c>
    </row>
    <row r="204" spans="56:59" x14ac:dyDescent="0.2">
      <c r="BD204" s="1">
        <v>3.9</v>
      </c>
      <c r="BE204" s="31">
        <v>4</v>
      </c>
      <c r="BF204" s="31">
        <v>8.3000000000000007</v>
      </c>
      <c r="BG204" s="31">
        <v>8.5</v>
      </c>
    </row>
    <row r="205" spans="56:59" x14ac:dyDescent="0.2">
      <c r="BD205" s="1">
        <v>4.2</v>
      </c>
      <c r="BE205" s="31">
        <v>4.5</v>
      </c>
      <c r="BF205" s="31">
        <v>5.6</v>
      </c>
      <c r="BG205" s="31">
        <v>6</v>
      </c>
    </row>
    <row r="206" spans="56:59" x14ac:dyDescent="0.2">
      <c r="BD206" s="1">
        <v>4.7</v>
      </c>
      <c r="BE206" s="31">
        <v>5</v>
      </c>
      <c r="BF206" s="31">
        <v>3.6</v>
      </c>
      <c r="BG206" s="31">
        <v>4.3</v>
      </c>
    </row>
    <row r="207" spans="56:59" x14ac:dyDescent="0.2">
      <c r="BD207" s="35">
        <v>4.9000000000000004</v>
      </c>
      <c r="BE207" s="31">
        <v>5.7</v>
      </c>
      <c r="BF207" s="31">
        <v>3.8</v>
      </c>
      <c r="BG207" s="31">
        <v>3.8</v>
      </c>
    </row>
    <row r="208" spans="56:59" x14ac:dyDescent="0.2">
      <c r="BD208" s="35">
        <v>4.9000000000000004</v>
      </c>
      <c r="BE208" s="31">
        <v>5.5</v>
      </c>
      <c r="BF208" s="31">
        <v>4.3</v>
      </c>
      <c r="BG208" s="31">
        <v>4.4000000000000004</v>
      </c>
    </row>
    <row r="209" spans="56:59" x14ac:dyDescent="0.2">
      <c r="BD209" s="9">
        <v>4.5</v>
      </c>
      <c r="BE209" s="32">
        <v>4.5</v>
      </c>
      <c r="BF209" s="31">
        <v>4.4000000000000004</v>
      </c>
      <c r="BG209" s="31">
        <v>4.8</v>
      </c>
    </row>
    <row r="210" spans="56:59" x14ac:dyDescent="0.2">
      <c r="BD210" s="1">
        <v>4.8</v>
      </c>
      <c r="BE210" s="31">
        <v>4.5999999999999996</v>
      </c>
      <c r="BF210" s="31">
        <v>3.9</v>
      </c>
      <c r="BG210" s="31">
        <v>4.0999999999999996</v>
      </c>
    </row>
    <row r="211" spans="56:59" x14ac:dyDescent="0.2">
      <c r="BD211" s="1">
        <v>5.2</v>
      </c>
      <c r="BE211" s="31">
        <v>5.3</v>
      </c>
      <c r="BF211" s="32">
        <v>5.9</v>
      </c>
      <c r="BG211" s="32">
        <v>4.9000000000000004</v>
      </c>
    </row>
    <row r="212" spans="56:59" x14ac:dyDescent="0.2">
      <c r="BD212" s="37">
        <v>8.4</v>
      </c>
      <c r="BE212" s="31">
        <v>10.3</v>
      </c>
      <c r="BF212" s="31">
        <v>4.3</v>
      </c>
      <c r="BG212" s="31">
        <v>4.4000000000000004</v>
      </c>
    </row>
    <row r="213" spans="56:59" x14ac:dyDescent="0.2">
      <c r="BD213" s="37">
        <v>14.5</v>
      </c>
      <c r="BE213" s="31">
        <v>12.7</v>
      </c>
      <c r="BF213" s="31">
        <v>4.9000000000000004</v>
      </c>
      <c r="BG213" s="31">
        <v>5</v>
      </c>
    </row>
    <row r="214" spans="56:59" x14ac:dyDescent="0.2">
      <c r="BD214" s="1">
        <v>3.9</v>
      </c>
      <c r="BE214" s="31">
        <v>3.9</v>
      </c>
      <c r="BF214" s="31">
        <v>6.7</v>
      </c>
      <c r="BG214" s="31">
        <v>5.2</v>
      </c>
    </row>
    <row r="215" spans="56:59" x14ac:dyDescent="0.2">
      <c r="BD215" s="1">
        <v>15.6</v>
      </c>
      <c r="BE215" s="31">
        <v>15.6</v>
      </c>
      <c r="BF215" s="31">
        <v>13.5</v>
      </c>
      <c r="BG215" s="31">
        <v>13.1</v>
      </c>
    </row>
    <row r="216" spans="56:59" x14ac:dyDescent="0.2">
      <c r="BD216" s="35">
        <v>7.4</v>
      </c>
      <c r="BE216" s="31">
        <v>7.9</v>
      </c>
      <c r="BF216" s="31">
        <v>3.5</v>
      </c>
      <c r="BG216" s="31">
        <v>3.8</v>
      </c>
    </row>
    <row r="217" spans="56:59" x14ac:dyDescent="0.2">
      <c r="BD217" s="37">
        <v>12.1</v>
      </c>
      <c r="BE217" s="31">
        <v>11.7</v>
      </c>
      <c r="BF217" s="31">
        <v>10.5</v>
      </c>
      <c r="BG217" s="31">
        <v>10.6</v>
      </c>
    </row>
    <row r="218" spans="56:59" x14ac:dyDescent="0.2">
      <c r="BD218" s="1">
        <v>6.6</v>
      </c>
      <c r="BE218" s="31">
        <v>6.8</v>
      </c>
      <c r="BF218" s="34">
        <v>5.0999999999999996</v>
      </c>
      <c r="BG218" s="31">
        <v>6.5</v>
      </c>
    </row>
    <row r="219" spans="56:59" x14ac:dyDescent="0.2">
      <c r="BD219" s="1">
        <v>5.4</v>
      </c>
      <c r="BE219" s="31">
        <v>5.3</v>
      </c>
      <c r="BF219" s="31">
        <v>6.3</v>
      </c>
      <c r="BG219" s="31">
        <v>6.7</v>
      </c>
    </row>
    <row r="220" spans="56:59" x14ac:dyDescent="0.2">
      <c r="BD220" s="1">
        <v>4.7</v>
      </c>
      <c r="BE220" s="31">
        <v>4.5999999999999996</v>
      </c>
      <c r="BF220" s="31">
        <v>6.1</v>
      </c>
      <c r="BG220" s="31">
        <v>5.5</v>
      </c>
    </row>
    <row r="221" spans="56:59" x14ac:dyDescent="0.2">
      <c r="BD221" s="1">
        <v>4.5</v>
      </c>
      <c r="BE221" s="31">
        <v>4.4000000000000004</v>
      </c>
      <c r="BF221" s="31">
        <v>4.5999999999999996</v>
      </c>
      <c r="BG221" s="31">
        <v>4.9000000000000004</v>
      </c>
    </row>
    <row r="222" spans="56:59" x14ac:dyDescent="0.2">
      <c r="BD222" s="1">
        <v>4.4000000000000004</v>
      </c>
      <c r="BE222" s="31">
        <v>4.5999999999999996</v>
      </c>
      <c r="BF222" s="31">
        <v>3.7</v>
      </c>
      <c r="BG222" s="31">
        <v>4</v>
      </c>
    </row>
    <row r="223" spans="56:59" x14ac:dyDescent="0.2">
      <c r="BD223" s="1">
        <v>4</v>
      </c>
      <c r="BE223" s="31">
        <v>4.3</v>
      </c>
      <c r="BF223" s="31">
        <v>4.3</v>
      </c>
      <c r="BG223" s="31">
        <v>4.2</v>
      </c>
    </row>
    <row r="224" spans="56:59" x14ac:dyDescent="0.2">
      <c r="BD224" s="1">
        <v>4</v>
      </c>
      <c r="BE224" s="31">
        <v>4.5</v>
      </c>
      <c r="BF224" s="31">
        <v>5.5</v>
      </c>
      <c r="BG224" s="31">
        <v>4.5999999999999996</v>
      </c>
    </row>
    <row r="225" spans="56:59" x14ac:dyDescent="0.2">
      <c r="BD225" s="1">
        <v>4.5</v>
      </c>
      <c r="BE225" s="31">
        <v>5.2</v>
      </c>
      <c r="BF225" s="31">
        <v>4.9000000000000004</v>
      </c>
      <c r="BG225" s="31">
        <v>5</v>
      </c>
    </row>
    <row r="226" spans="56:59" x14ac:dyDescent="0.2">
      <c r="BD226" s="1">
        <v>3.8</v>
      </c>
      <c r="BE226" s="31">
        <v>4.0999999999999996</v>
      </c>
      <c r="BF226" s="31">
        <v>3.8</v>
      </c>
      <c r="BG226" s="31">
        <v>3.7</v>
      </c>
    </row>
    <row r="227" spans="56:59" x14ac:dyDescent="0.2">
      <c r="BD227" s="1">
        <v>4.4000000000000004</v>
      </c>
      <c r="BE227" s="31">
        <v>4.5999999999999996</v>
      </c>
      <c r="BF227" s="31">
        <v>3.2</v>
      </c>
      <c r="BG227" s="31">
        <v>3.3</v>
      </c>
    </row>
    <row r="228" spans="56:59" x14ac:dyDescent="0.2">
      <c r="BD228" s="37">
        <v>6.9</v>
      </c>
      <c r="BE228" s="31">
        <v>6.9</v>
      </c>
      <c r="BF228" s="31">
        <v>4.5999999999999996</v>
      </c>
      <c r="BG228" s="31">
        <v>3.5</v>
      </c>
    </row>
    <row r="229" spans="56:59" x14ac:dyDescent="0.2">
      <c r="BD229" s="37">
        <v>7.4</v>
      </c>
      <c r="BE229" s="31">
        <v>7.4</v>
      </c>
      <c r="BF229" s="31">
        <v>4.4000000000000004</v>
      </c>
      <c r="BG229" s="31">
        <v>4.5999999999999996</v>
      </c>
    </row>
    <row r="230" spans="56:59" x14ac:dyDescent="0.2">
      <c r="BD230" s="35">
        <v>6.5</v>
      </c>
      <c r="BE230" s="31">
        <v>7.1</v>
      </c>
      <c r="BF230" s="31">
        <v>3.8</v>
      </c>
      <c r="BG230" s="31">
        <v>3.5</v>
      </c>
    </row>
    <row r="231" spans="56:59" x14ac:dyDescent="0.2">
      <c r="BD231" s="35">
        <v>7</v>
      </c>
      <c r="BE231" s="31">
        <v>7.7</v>
      </c>
      <c r="BF231" s="31">
        <v>3.6</v>
      </c>
      <c r="BG231" s="31">
        <v>3.8</v>
      </c>
    </row>
    <row r="232" spans="56:59" x14ac:dyDescent="0.2">
      <c r="BD232" s="1">
        <v>3.5</v>
      </c>
      <c r="BE232" s="31">
        <v>3.7</v>
      </c>
      <c r="BF232" s="31">
        <v>5.8</v>
      </c>
      <c r="BG232" s="31">
        <v>6.1</v>
      </c>
    </row>
    <row r="233" spans="56:59" x14ac:dyDescent="0.2">
      <c r="BD233" s="1">
        <v>3.4</v>
      </c>
      <c r="BE233" s="31">
        <v>3.5</v>
      </c>
      <c r="BF233" s="31">
        <v>5.5</v>
      </c>
      <c r="BG233" s="31">
        <v>6</v>
      </c>
    </row>
    <row r="234" spans="56:59" x14ac:dyDescent="0.2">
      <c r="BD234" s="35">
        <v>8</v>
      </c>
      <c r="BE234" s="31">
        <v>8.1999999999999993</v>
      </c>
      <c r="BF234" s="31">
        <v>4.0999999999999996</v>
      </c>
      <c r="BG234" s="31">
        <v>4.2</v>
      </c>
    </row>
    <row r="235" spans="56:59" x14ac:dyDescent="0.2">
      <c r="BD235" s="1">
        <v>6.1</v>
      </c>
      <c r="BE235" s="31">
        <v>5.9</v>
      </c>
      <c r="BF235" s="31">
        <v>7.2</v>
      </c>
      <c r="BG235" s="31">
        <v>7.3</v>
      </c>
    </row>
    <row r="236" spans="56:59" x14ac:dyDescent="0.2">
      <c r="BD236" s="1">
        <v>3.9</v>
      </c>
      <c r="BE236" s="31">
        <v>4</v>
      </c>
      <c r="BF236" s="31">
        <v>4.2</v>
      </c>
      <c r="BG236" s="31">
        <v>4.2</v>
      </c>
    </row>
    <row r="237" spans="56:59" x14ac:dyDescent="0.2">
      <c r="BD237" s="1">
        <v>4.7</v>
      </c>
      <c r="BE237" s="31">
        <v>4.9000000000000004</v>
      </c>
      <c r="BF237" s="31">
        <v>3.3</v>
      </c>
      <c r="BG237" s="31">
        <v>3.6</v>
      </c>
    </row>
    <row r="238" spans="56:59" x14ac:dyDescent="0.2">
      <c r="BD238" s="1">
        <v>6.3</v>
      </c>
      <c r="BE238" s="31">
        <v>6.6</v>
      </c>
      <c r="BF238" s="31">
        <v>5</v>
      </c>
      <c r="BG238" s="31">
        <v>4.9000000000000004</v>
      </c>
    </row>
    <row r="239" spans="56:59" x14ac:dyDescent="0.2">
      <c r="BD239" s="1">
        <v>5.9</v>
      </c>
      <c r="BE239" s="31">
        <v>6.3</v>
      </c>
      <c r="BF239" s="31">
        <v>4.5999999999999996</v>
      </c>
      <c r="BG239" s="31">
        <v>4.5</v>
      </c>
    </row>
    <row r="240" spans="56:59" x14ac:dyDescent="0.2">
      <c r="BD240" s="1">
        <v>3.7</v>
      </c>
      <c r="BE240" s="31">
        <v>3.9</v>
      </c>
      <c r="BF240" s="31">
        <v>4.5999999999999996</v>
      </c>
      <c r="BG240" s="31">
        <v>4.8</v>
      </c>
    </row>
    <row r="241" spans="56:59" x14ac:dyDescent="0.2">
      <c r="BD241" s="35">
        <v>6.8</v>
      </c>
      <c r="BE241" s="31">
        <v>7.4</v>
      </c>
      <c r="BF241" s="31">
        <v>4.7</v>
      </c>
      <c r="BG241" s="31">
        <v>4.4000000000000004</v>
      </c>
    </row>
    <row r="242" spans="56:59" x14ac:dyDescent="0.2">
      <c r="BD242" s="35">
        <v>5.2</v>
      </c>
      <c r="BE242" s="31">
        <v>5.4</v>
      </c>
      <c r="BF242" s="31">
        <v>3.9</v>
      </c>
      <c r="BG242" s="31">
        <v>3.9</v>
      </c>
    </row>
    <row r="243" spans="56:59" x14ac:dyDescent="0.2">
      <c r="BD243" s="1">
        <v>3.3</v>
      </c>
      <c r="BE243" s="31">
        <v>3.6</v>
      </c>
      <c r="BF243" s="31">
        <v>5.2</v>
      </c>
      <c r="BG243" s="31">
        <v>5.3</v>
      </c>
    </row>
    <row r="244" spans="56:59" x14ac:dyDescent="0.2">
      <c r="BD244" s="35">
        <v>6</v>
      </c>
      <c r="BE244" s="31">
        <v>6</v>
      </c>
      <c r="BF244" s="31">
        <v>4.4000000000000004</v>
      </c>
      <c r="BG244" s="31">
        <v>4.4000000000000004</v>
      </c>
    </row>
    <row r="245" spans="56:59" x14ac:dyDescent="0.2">
      <c r="BD245" s="35">
        <v>6.8</v>
      </c>
      <c r="BE245" s="31">
        <v>6.5</v>
      </c>
      <c r="BF245" s="31">
        <v>3.8</v>
      </c>
      <c r="BG245" s="31">
        <v>4</v>
      </c>
    </row>
    <row r="246" spans="56:59" x14ac:dyDescent="0.2">
      <c r="BD246" s="1">
        <v>5</v>
      </c>
      <c r="BE246" s="31">
        <v>4.9000000000000004</v>
      </c>
      <c r="BF246" s="31">
        <v>4.9000000000000004</v>
      </c>
      <c r="BG246" s="31">
        <v>4.9000000000000004</v>
      </c>
    </row>
    <row r="247" spans="56:59" x14ac:dyDescent="0.2">
      <c r="BD247" s="1">
        <v>5.4</v>
      </c>
      <c r="BE247" s="31">
        <v>5.8</v>
      </c>
      <c r="BF247" s="31">
        <v>4.5</v>
      </c>
      <c r="BG247" s="31">
        <v>4.8</v>
      </c>
    </row>
    <row r="248" spans="56:59" x14ac:dyDescent="0.2">
      <c r="BD248" s="1">
        <v>5.7</v>
      </c>
      <c r="BE248" s="31">
        <v>5.6</v>
      </c>
      <c r="BF248" s="31">
        <v>4.0999999999999996</v>
      </c>
      <c r="BG248" s="31">
        <v>5.0999999999999996</v>
      </c>
    </row>
    <row r="249" spans="56:59" x14ac:dyDescent="0.2">
      <c r="BD249" s="1">
        <v>5.2</v>
      </c>
      <c r="BE249" s="31">
        <v>5.0999999999999996</v>
      </c>
      <c r="BF249" s="31">
        <v>6.4</v>
      </c>
      <c r="BG249" s="31">
        <v>5.8</v>
      </c>
    </row>
    <row r="250" spans="56:59" x14ac:dyDescent="0.2">
      <c r="BD250" s="37">
        <v>5.8</v>
      </c>
      <c r="BE250" s="31">
        <v>6.2</v>
      </c>
      <c r="BF250" s="31">
        <v>4.9000000000000004</v>
      </c>
      <c r="BG250" s="31">
        <v>5</v>
      </c>
    </row>
    <row r="251" spans="56:59" x14ac:dyDescent="0.2">
      <c r="BD251" s="1">
        <v>5</v>
      </c>
      <c r="BE251" s="31">
        <v>4.8</v>
      </c>
      <c r="BF251" s="31">
        <v>5.4</v>
      </c>
      <c r="BG251" s="31">
        <v>5.7</v>
      </c>
    </row>
    <row r="252" spans="56:59" x14ac:dyDescent="0.2">
      <c r="BD252" s="1">
        <v>4.2</v>
      </c>
      <c r="BE252" s="31">
        <v>4.2</v>
      </c>
      <c r="BF252" s="31">
        <v>6.7</v>
      </c>
      <c r="BG252" s="31">
        <v>7</v>
      </c>
    </row>
    <row r="253" spans="56:59" x14ac:dyDescent="0.2">
      <c r="BD253" s="37">
        <v>9.1</v>
      </c>
      <c r="BE253" s="31">
        <v>9</v>
      </c>
      <c r="BF253" s="31">
        <v>3.7</v>
      </c>
      <c r="BG253" s="31">
        <v>3.7</v>
      </c>
    </row>
    <row r="254" spans="56:59" x14ac:dyDescent="0.2">
      <c r="BD254" s="1">
        <v>4.7</v>
      </c>
      <c r="BE254" s="31">
        <v>4.7</v>
      </c>
      <c r="BF254" s="31">
        <v>4.2</v>
      </c>
      <c r="BG254" s="31">
        <v>4.3</v>
      </c>
    </row>
    <row r="255" spans="56:59" x14ac:dyDescent="0.2">
      <c r="BD255" s="1">
        <v>3.5</v>
      </c>
      <c r="BE255" s="31">
        <v>3.7</v>
      </c>
      <c r="BF255" s="31">
        <v>4.4000000000000004</v>
      </c>
      <c r="BG255" s="31">
        <v>4.7</v>
      </c>
    </row>
    <row r="256" spans="56:59" x14ac:dyDescent="0.2">
      <c r="BD256" s="1">
        <v>6.8</v>
      </c>
      <c r="BE256" s="31">
        <v>7.1</v>
      </c>
      <c r="BF256" s="31">
        <v>3.4</v>
      </c>
      <c r="BG256" s="31">
        <v>3.6</v>
      </c>
    </row>
    <row r="257" spans="56:59" x14ac:dyDescent="0.2">
      <c r="BD257" s="37">
        <v>6.2</v>
      </c>
      <c r="BE257" s="31">
        <v>7.1</v>
      </c>
      <c r="BF257" s="31">
        <v>4.2</v>
      </c>
      <c r="BG257" s="31">
        <v>4</v>
      </c>
    </row>
    <row r="258" spans="56:59" x14ac:dyDescent="0.2">
      <c r="BD258" s="1">
        <v>3.8</v>
      </c>
      <c r="BE258" s="31">
        <v>3.6</v>
      </c>
      <c r="BF258" s="31">
        <v>9.6999999999999993</v>
      </c>
      <c r="BG258" s="31">
        <v>10.4</v>
      </c>
    </row>
    <row r="259" spans="56:59" x14ac:dyDescent="0.2">
      <c r="BD259" s="1">
        <v>4.5999999999999996</v>
      </c>
      <c r="BE259" s="31">
        <v>5.0999999999999996</v>
      </c>
      <c r="BF259" s="31">
        <v>7.7</v>
      </c>
      <c r="BG259" s="31">
        <v>8.1999999999999993</v>
      </c>
    </row>
    <row r="260" spans="56:59" x14ac:dyDescent="0.2">
      <c r="BD260" s="35">
        <v>5.3</v>
      </c>
      <c r="BE260">
        <v>5.6</v>
      </c>
      <c r="BF260" s="31">
        <v>4.7</v>
      </c>
      <c r="BG260" s="31">
        <v>5.0999999999999996</v>
      </c>
    </row>
    <row r="261" spans="56:59" x14ac:dyDescent="0.2">
      <c r="BD261" s="35">
        <v>6.4</v>
      </c>
      <c r="BE261">
        <v>6.5</v>
      </c>
      <c r="BF261" s="31">
        <v>5.7</v>
      </c>
      <c r="BG261" s="31">
        <v>5.6</v>
      </c>
    </row>
    <row r="262" spans="56:59" x14ac:dyDescent="0.2">
      <c r="BD262" s="37">
        <v>9.4</v>
      </c>
      <c r="BE262" s="31">
        <v>10.3</v>
      </c>
      <c r="BF262" s="31">
        <v>3.3</v>
      </c>
      <c r="BG262" s="31">
        <v>3.9</v>
      </c>
    </row>
    <row r="263" spans="56:59" x14ac:dyDescent="0.2">
      <c r="BD263" s="37">
        <v>6.4</v>
      </c>
      <c r="BE263" s="31">
        <v>7</v>
      </c>
      <c r="BF263" s="31">
        <v>3.8</v>
      </c>
      <c r="BG263" s="31">
        <v>4.8</v>
      </c>
    </row>
    <row r="264" spans="56:59" x14ac:dyDescent="0.2">
      <c r="BD264" s="1">
        <v>5.4</v>
      </c>
      <c r="BE264" s="31">
        <v>5.5</v>
      </c>
      <c r="BF264" s="31">
        <v>7.3</v>
      </c>
      <c r="BG264" s="31">
        <v>6.8</v>
      </c>
    </row>
    <row r="265" spans="56:59" x14ac:dyDescent="0.2">
      <c r="BD265" s="35">
        <v>5.8</v>
      </c>
      <c r="BE265" s="31">
        <v>5.9</v>
      </c>
      <c r="BF265" s="31">
        <v>5.3</v>
      </c>
      <c r="BG265" s="31">
        <v>5.0999999999999996</v>
      </c>
    </row>
    <row r="266" spans="56:59" x14ac:dyDescent="0.2">
      <c r="BD266" s="35">
        <v>5.5</v>
      </c>
      <c r="BE266" s="31">
        <v>5.5</v>
      </c>
      <c r="BF266" s="31">
        <v>7.9</v>
      </c>
      <c r="BG266" s="31">
        <v>8.4</v>
      </c>
    </row>
    <row r="267" spans="56:59" x14ac:dyDescent="0.2">
      <c r="BD267" s="38">
        <v>5.4</v>
      </c>
      <c r="BE267" s="32">
        <v>5.5</v>
      </c>
      <c r="BF267" s="31">
        <v>7.4</v>
      </c>
      <c r="BG267" s="31">
        <v>7.4</v>
      </c>
    </row>
    <row r="268" spans="56:59" x14ac:dyDescent="0.2">
      <c r="BD268" s="1">
        <v>4.2</v>
      </c>
      <c r="BE268" s="31">
        <v>4</v>
      </c>
      <c r="BF268" s="31">
        <v>4.4000000000000004</v>
      </c>
      <c r="BG268" s="31">
        <v>4</v>
      </c>
    </row>
    <row r="269" spans="56:59" x14ac:dyDescent="0.2">
      <c r="BD269" s="1">
        <v>5.7</v>
      </c>
      <c r="BE269" s="31">
        <v>5.8</v>
      </c>
      <c r="BF269" s="31">
        <v>4.4000000000000004</v>
      </c>
      <c r="BG269" s="31">
        <v>4.5</v>
      </c>
    </row>
    <row r="270" spans="56:59" x14ac:dyDescent="0.2">
      <c r="BD270" s="37">
        <v>8.1</v>
      </c>
      <c r="BE270" s="31">
        <v>8.4</v>
      </c>
      <c r="BF270" s="31">
        <v>4.7</v>
      </c>
      <c r="BG270" s="31">
        <v>5</v>
      </c>
    </row>
    <row r="271" spans="56:59" x14ac:dyDescent="0.2">
      <c r="BD271" s="37">
        <v>13.3</v>
      </c>
      <c r="BE271" s="31">
        <v>13</v>
      </c>
      <c r="BF271" s="31">
        <v>5.0999999999999996</v>
      </c>
      <c r="BG271" s="31">
        <v>5.7</v>
      </c>
    </row>
    <row r="272" spans="56:59" x14ac:dyDescent="0.2">
      <c r="BD272" s="1">
        <v>3.6</v>
      </c>
      <c r="BE272" s="31">
        <v>3.5</v>
      </c>
      <c r="BF272" s="31">
        <v>5.0999999999999996</v>
      </c>
      <c r="BG272" s="31">
        <v>5.5</v>
      </c>
    </row>
    <row r="273" spans="56:59" x14ac:dyDescent="0.2">
      <c r="BD273" s="1">
        <v>14.3</v>
      </c>
      <c r="BE273" s="31">
        <v>16.3</v>
      </c>
      <c r="BF273" s="32">
        <v>3.9</v>
      </c>
      <c r="BG273" s="32">
        <v>4.5</v>
      </c>
    </row>
    <row r="274" spans="56:59" x14ac:dyDescent="0.2">
      <c r="BD274" s="37">
        <v>6.4</v>
      </c>
      <c r="BE274" s="31">
        <v>6.6</v>
      </c>
      <c r="BF274" s="31">
        <v>4.5999999999999996</v>
      </c>
      <c r="BG274" s="31">
        <v>4.5999999999999996</v>
      </c>
    </row>
    <row r="275" spans="56:59" x14ac:dyDescent="0.2">
      <c r="BD275" s="37">
        <v>10.8</v>
      </c>
      <c r="BE275" s="31">
        <v>10.6</v>
      </c>
      <c r="BF275" s="31">
        <v>5.9</v>
      </c>
      <c r="BG275" s="31">
        <v>5.3</v>
      </c>
    </row>
    <row r="276" spans="56:59" x14ac:dyDescent="0.2">
      <c r="BD276" s="1">
        <v>6.1</v>
      </c>
      <c r="BE276" s="31">
        <v>5.6</v>
      </c>
      <c r="BF276" s="31">
        <v>8.5</v>
      </c>
      <c r="BG276" s="31">
        <v>10.3</v>
      </c>
    </row>
    <row r="277" spans="56:59" x14ac:dyDescent="0.2">
      <c r="BD277" s="1">
        <v>6.4</v>
      </c>
      <c r="BE277" s="31">
        <v>6.2</v>
      </c>
      <c r="BF277" s="31">
        <v>13.1</v>
      </c>
      <c r="BG277" s="31">
        <v>12.7</v>
      </c>
    </row>
    <row r="278" spans="56:59" x14ac:dyDescent="0.2">
      <c r="BD278" s="1">
        <v>3.4</v>
      </c>
      <c r="BE278" s="31">
        <v>3.4</v>
      </c>
      <c r="BF278" s="31">
        <v>4</v>
      </c>
      <c r="BG278" s="31">
        <v>3.9</v>
      </c>
    </row>
    <row r="279" spans="56:59" x14ac:dyDescent="0.2">
      <c r="BD279" s="35">
        <v>5.2</v>
      </c>
      <c r="BE279" s="31">
        <v>5.0999999999999996</v>
      </c>
      <c r="BF279" s="31">
        <v>16.100000000000001</v>
      </c>
      <c r="BG279" s="31">
        <v>15.6</v>
      </c>
    </row>
    <row r="280" spans="56:59" x14ac:dyDescent="0.2">
      <c r="BD280" s="1">
        <v>4.0999999999999996</v>
      </c>
      <c r="BE280" s="31">
        <v>3.9</v>
      </c>
      <c r="BF280" s="31">
        <v>7.2</v>
      </c>
      <c r="BG280" s="31">
        <v>7.9</v>
      </c>
    </row>
    <row r="281" spans="56:59" x14ac:dyDescent="0.2">
      <c r="BD281" s="1">
        <v>4</v>
      </c>
      <c r="BE281" s="31">
        <v>3.8</v>
      </c>
      <c r="BF281" s="31">
        <v>12</v>
      </c>
      <c r="BG281" s="31">
        <v>11.7</v>
      </c>
    </row>
    <row r="282" spans="56:59" x14ac:dyDescent="0.2">
      <c r="BD282" s="1">
        <v>4</v>
      </c>
      <c r="BE282" s="31">
        <v>3.8</v>
      </c>
      <c r="BF282" s="31">
        <v>6.2</v>
      </c>
      <c r="BG282" s="31">
        <v>6.8</v>
      </c>
    </row>
    <row r="283" spans="56:59" x14ac:dyDescent="0.2">
      <c r="BD283" s="1">
        <v>3.7</v>
      </c>
      <c r="BE283" s="31">
        <v>3.7</v>
      </c>
      <c r="BF283" s="31">
        <v>6.1</v>
      </c>
      <c r="BG283" s="31">
        <v>5.3</v>
      </c>
    </row>
    <row r="284" spans="56:59" x14ac:dyDescent="0.2">
      <c r="BD284" s="1">
        <v>3.4</v>
      </c>
      <c r="BE284" s="31">
        <v>3.4</v>
      </c>
      <c r="BF284" s="31">
        <v>4.4000000000000004</v>
      </c>
      <c r="BG284" s="31">
        <v>4.5999999999999996</v>
      </c>
    </row>
    <row r="285" spans="56:59" x14ac:dyDescent="0.2">
      <c r="BD285" s="35">
        <v>4.8</v>
      </c>
      <c r="BE285" s="31">
        <v>4.8</v>
      </c>
      <c r="BF285" s="31">
        <v>4.3</v>
      </c>
      <c r="BG285" s="31">
        <v>4.4000000000000004</v>
      </c>
    </row>
    <row r="286" spans="56:59" x14ac:dyDescent="0.2">
      <c r="BD286" s="37">
        <v>7.2</v>
      </c>
      <c r="BE286" s="31">
        <v>7.6</v>
      </c>
      <c r="BF286" s="31">
        <v>4.0999999999999996</v>
      </c>
      <c r="BG286" s="31">
        <v>4.5999999999999996</v>
      </c>
    </row>
    <row r="287" spans="56:59" x14ac:dyDescent="0.2">
      <c r="BD287" s="37">
        <v>7.5</v>
      </c>
      <c r="BE287" s="31">
        <v>7.4</v>
      </c>
      <c r="BF287" s="31">
        <v>3.9</v>
      </c>
      <c r="BG287" s="31">
        <v>4.3</v>
      </c>
    </row>
    <row r="288" spans="56:59" x14ac:dyDescent="0.2">
      <c r="BD288" s="35">
        <v>5.8</v>
      </c>
      <c r="BE288" s="31">
        <v>6.6</v>
      </c>
      <c r="BF288" s="31">
        <v>4.3</v>
      </c>
      <c r="BG288" s="31">
        <v>4.5</v>
      </c>
    </row>
    <row r="289" spans="56:59" x14ac:dyDescent="0.2">
      <c r="BD289" s="37">
        <v>9.4</v>
      </c>
      <c r="BE289" s="31">
        <v>9.9</v>
      </c>
      <c r="BF289" s="31">
        <v>4.4000000000000004</v>
      </c>
      <c r="BG289" s="31">
        <v>5.2</v>
      </c>
    </row>
    <row r="290" spans="56:59" x14ac:dyDescent="0.2">
      <c r="BD290" s="1">
        <v>3.7</v>
      </c>
      <c r="BE290" s="31">
        <v>4</v>
      </c>
      <c r="BF290" s="31">
        <v>3.7</v>
      </c>
      <c r="BG290" s="31">
        <v>4.0999999999999996</v>
      </c>
    </row>
    <row r="291" spans="56:59" x14ac:dyDescent="0.2">
      <c r="BD291" s="1">
        <v>3.1</v>
      </c>
      <c r="BE291" s="31">
        <v>3.5</v>
      </c>
      <c r="BF291" s="31">
        <v>4.3</v>
      </c>
      <c r="BG291" s="31">
        <v>4.5999999999999996</v>
      </c>
    </row>
    <row r="292" spans="56:59" x14ac:dyDescent="0.2">
      <c r="BD292" s="37">
        <v>5.8</v>
      </c>
      <c r="BE292" s="31">
        <v>5.9</v>
      </c>
      <c r="BF292" s="31">
        <v>7.1</v>
      </c>
      <c r="BG292" s="31">
        <v>6.9</v>
      </c>
    </row>
    <row r="293" spans="56:59" x14ac:dyDescent="0.2">
      <c r="BD293" s="37">
        <v>6.1</v>
      </c>
      <c r="BE293" s="31">
        <v>6.1</v>
      </c>
      <c r="BF293" s="31">
        <v>8.1</v>
      </c>
      <c r="BG293" s="31">
        <v>7.4</v>
      </c>
    </row>
    <row r="294" spans="56:59" x14ac:dyDescent="0.2">
      <c r="BD294" s="1">
        <v>3.5</v>
      </c>
      <c r="BE294" s="31">
        <v>3.5</v>
      </c>
      <c r="BF294" s="31">
        <v>6.4</v>
      </c>
      <c r="BG294" s="31">
        <v>7.1</v>
      </c>
    </row>
    <row r="295" spans="56:59" x14ac:dyDescent="0.2">
      <c r="BD295" s="1">
        <v>4.5</v>
      </c>
      <c r="BE295" s="31">
        <v>4.4000000000000004</v>
      </c>
      <c r="BF295" s="31">
        <v>7.4</v>
      </c>
      <c r="BG295" s="31">
        <v>7.7</v>
      </c>
    </row>
    <row r="296" spans="56:59" x14ac:dyDescent="0.2">
      <c r="BD296" s="1">
        <v>6.2</v>
      </c>
      <c r="BE296" s="31">
        <v>6</v>
      </c>
      <c r="BF296" s="31">
        <v>3.5</v>
      </c>
      <c r="BG296" s="31">
        <v>3.7</v>
      </c>
    </row>
    <row r="297" spans="56:59" x14ac:dyDescent="0.2">
      <c r="BD297" s="1">
        <v>6</v>
      </c>
      <c r="BE297" s="31">
        <v>6.9</v>
      </c>
      <c r="BF297" s="31">
        <v>3.8</v>
      </c>
      <c r="BG297" s="31">
        <v>3.5</v>
      </c>
    </row>
    <row r="298" spans="56:59" x14ac:dyDescent="0.2">
      <c r="BD298" s="35">
        <v>3.9</v>
      </c>
      <c r="BE298" s="31">
        <v>4</v>
      </c>
      <c r="BF298" s="31">
        <v>6.8</v>
      </c>
      <c r="BG298" s="31">
        <v>8.1999999999999993</v>
      </c>
    </row>
    <row r="299" spans="56:59" x14ac:dyDescent="0.2">
      <c r="BD299" s="35">
        <v>6.8</v>
      </c>
      <c r="BE299" s="31">
        <v>6.8</v>
      </c>
      <c r="BF299" s="31">
        <v>5.5</v>
      </c>
      <c r="BG299" s="31">
        <v>5.9</v>
      </c>
    </row>
    <row r="300" spans="56:59" x14ac:dyDescent="0.2">
      <c r="BD300" s="35">
        <v>4.3</v>
      </c>
      <c r="BE300" s="31">
        <v>4.4000000000000004</v>
      </c>
      <c r="BF300" s="31">
        <v>3.7</v>
      </c>
      <c r="BG300" s="31">
        <v>4</v>
      </c>
    </row>
    <row r="301" spans="56:59" x14ac:dyDescent="0.2">
      <c r="BD301" s="1">
        <v>3.1</v>
      </c>
      <c r="BE301" s="31">
        <v>3</v>
      </c>
      <c r="BF301" s="31">
        <v>4.7</v>
      </c>
      <c r="BG301" s="31">
        <v>4.9000000000000004</v>
      </c>
    </row>
    <row r="302" spans="56:59" x14ac:dyDescent="0.2">
      <c r="BD302" s="35">
        <v>7.2</v>
      </c>
      <c r="BE302" s="31">
        <v>7.3</v>
      </c>
      <c r="BF302" s="31">
        <v>6.6</v>
      </c>
      <c r="BG302" s="31">
        <v>6</v>
      </c>
    </row>
    <row r="303" spans="56:59" x14ac:dyDescent="0.2">
      <c r="BD303" s="1">
        <v>5.7</v>
      </c>
      <c r="BE303" s="31">
        <v>5.3</v>
      </c>
      <c r="BF303" s="31">
        <v>6.3</v>
      </c>
      <c r="BG303" s="31">
        <v>6.9</v>
      </c>
    </row>
    <row r="304" spans="56:59" x14ac:dyDescent="0.2">
      <c r="BD304" s="1">
        <v>4.9000000000000004</v>
      </c>
      <c r="BE304" s="31">
        <v>5.0999999999999996</v>
      </c>
      <c r="BF304" s="31">
        <v>3.9</v>
      </c>
      <c r="BG304" s="31">
        <v>4</v>
      </c>
    </row>
    <row r="305" spans="56:59" x14ac:dyDescent="0.2">
      <c r="BD305" s="1">
        <v>5.0999999999999996</v>
      </c>
      <c r="BE305" s="31">
        <v>5.3</v>
      </c>
      <c r="BF305" s="31">
        <v>7.4</v>
      </c>
      <c r="BG305" s="31">
        <v>6.8</v>
      </c>
    </row>
    <row r="306" spans="56:59" x14ac:dyDescent="0.2">
      <c r="BD306" s="1">
        <v>5.7</v>
      </c>
      <c r="BE306" s="31">
        <v>5.3</v>
      </c>
      <c r="BF306" s="31">
        <v>5.4</v>
      </c>
      <c r="BG306" s="31">
        <v>4.4000000000000004</v>
      </c>
    </row>
    <row r="307" spans="56:59" x14ac:dyDescent="0.2">
      <c r="BD307" s="1">
        <v>5</v>
      </c>
      <c r="BE307" s="31">
        <v>5.0999999999999996</v>
      </c>
      <c r="BF307" s="31">
        <v>3.6</v>
      </c>
      <c r="BG307" s="31">
        <v>3</v>
      </c>
    </row>
    <row r="308" spans="56:59" x14ac:dyDescent="0.2">
      <c r="BD308" s="37">
        <v>6.1</v>
      </c>
      <c r="BE308" s="31">
        <v>6.5</v>
      </c>
      <c r="BF308" s="31">
        <v>6</v>
      </c>
      <c r="BG308" s="31">
        <v>7.3</v>
      </c>
    </row>
    <row r="309" spans="56:59" x14ac:dyDescent="0.2">
      <c r="BD309" s="1">
        <v>4.4000000000000004</v>
      </c>
      <c r="BE309" s="31">
        <v>4.5</v>
      </c>
      <c r="BF309" s="31">
        <v>6.5</v>
      </c>
      <c r="BG309" s="31">
        <v>5.3</v>
      </c>
    </row>
    <row r="310" spans="56:59" x14ac:dyDescent="0.2">
      <c r="BD310" s="1">
        <v>4.0999999999999996</v>
      </c>
      <c r="BE310" s="31">
        <v>4.4000000000000004</v>
      </c>
      <c r="BF310" s="31">
        <v>4.9000000000000004</v>
      </c>
      <c r="BG310" s="31">
        <v>5.0999999999999996</v>
      </c>
    </row>
    <row r="311" spans="56:59" x14ac:dyDescent="0.2">
      <c r="BD311" s="37">
        <v>8.5</v>
      </c>
      <c r="BE311" s="31">
        <v>9.1</v>
      </c>
      <c r="BF311" s="31">
        <v>5.8</v>
      </c>
      <c r="BG311" s="31">
        <v>5.3</v>
      </c>
    </row>
    <row r="312" spans="56:59" x14ac:dyDescent="0.2">
      <c r="BD312" s="1">
        <v>4.3</v>
      </c>
      <c r="BE312" s="31">
        <v>4.8</v>
      </c>
      <c r="BF312" s="31">
        <v>5.6</v>
      </c>
      <c r="BG312" s="31">
        <v>5.3</v>
      </c>
    </row>
    <row r="313" spans="56:59" x14ac:dyDescent="0.2">
      <c r="BD313" s="1">
        <v>3.7</v>
      </c>
      <c r="BE313" s="31">
        <v>3.7</v>
      </c>
      <c r="BF313" s="31">
        <v>5.0999999999999996</v>
      </c>
      <c r="BG313" s="31">
        <v>5.0999999999999996</v>
      </c>
    </row>
    <row r="314" spans="56:59" x14ac:dyDescent="0.2">
      <c r="BD314" s="1">
        <v>6.3</v>
      </c>
      <c r="BE314" s="31">
        <v>6.3</v>
      </c>
      <c r="BF314" s="31">
        <v>6.2</v>
      </c>
      <c r="BG314" s="31">
        <v>6.5</v>
      </c>
    </row>
    <row r="315" spans="56:59" x14ac:dyDescent="0.2">
      <c r="BD315" s="37">
        <v>7</v>
      </c>
      <c r="BE315" s="31">
        <v>8</v>
      </c>
      <c r="BF315" s="31">
        <v>4.8</v>
      </c>
      <c r="BG315" s="31">
        <v>4.5</v>
      </c>
    </row>
    <row r="316" spans="56:59" x14ac:dyDescent="0.2">
      <c r="BD316" s="1">
        <v>3.5</v>
      </c>
      <c r="BE316" s="31">
        <v>3.4</v>
      </c>
      <c r="BF316" s="31">
        <v>4.2</v>
      </c>
      <c r="BG316" s="31">
        <v>4.4000000000000004</v>
      </c>
    </row>
    <row r="317" spans="56:59" x14ac:dyDescent="0.2">
      <c r="BD317" s="1">
        <v>4.5</v>
      </c>
      <c r="BE317" s="31">
        <v>4.7</v>
      </c>
      <c r="BF317" s="31">
        <v>9</v>
      </c>
      <c r="BG317" s="31">
        <v>9.1</v>
      </c>
    </row>
    <row r="318" spans="56:59" x14ac:dyDescent="0.2">
      <c r="BD318" s="35">
        <v>5.6</v>
      </c>
      <c r="BE318">
        <v>5.6</v>
      </c>
      <c r="BF318" s="31">
        <v>4.7</v>
      </c>
      <c r="BG318" s="31">
        <v>4.8</v>
      </c>
    </row>
    <row r="319" spans="56:59" x14ac:dyDescent="0.2">
      <c r="BD319" s="35">
        <v>6.1</v>
      </c>
      <c r="BE319">
        <v>6.2</v>
      </c>
      <c r="BF319" s="31">
        <v>3.7</v>
      </c>
      <c r="BG319" s="31">
        <v>3.7</v>
      </c>
    </row>
    <row r="320" spans="56:59" x14ac:dyDescent="0.2">
      <c r="BD320" s="37">
        <v>9.1</v>
      </c>
      <c r="BE320" s="31">
        <v>9.4</v>
      </c>
      <c r="BF320" s="31">
        <v>10.7</v>
      </c>
      <c r="BG320" s="31">
        <v>9.6</v>
      </c>
    </row>
    <row r="321" spans="56:59" x14ac:dyDescent="0.2">
      <c r="BD321" s="37">
        <v>6.2</v>
      </c>
      <c r="BE321" s="31">
        <v>6.4</v>
      </c>
      <c r="BF321" s="31">
        <v>9.5</v>
      </c>
      <c r="BG321" s="31">
        <v>8.9</v>
      </c>
    </row>
    <row r="322" spans="56:59" x14ac:dyDescent="0.2">
      <c r="BD322" s="1">
        <v>5.8</v>
      </c>
      <c r="BE322" s="31">
        <v>6.2</v>
      </c>
      <c r="BF322" s="31">
        <v>7.1</v>
      </c>
      <c r="BG322" s="31">
        <v>6.3</v>
      </c>
    </row>
    <row r="323" spans="56:59" x14ac:dyDescent="0.2">
      <c r="BD323" s="35">
        <v>5.5</v>
      </c>
      <c r="BE323" s="31">
        <v>5.3</v>
      </c>
      <c r="BF323" s="31">
        <v>7.1</v>
      </c>
      <c r="BG323" s="31">
        <v>8</v>
      </c>
    </row>
    <row r="324" spans="56:59" x14ac:dyDescent="0.2">
      <c r="BD324" s="35">
        <v>5.2</v>
      </c>
      <c r="BE324" s="31">
        <v>5.5</v>
      </c>
      <c r="BF324" s="31">
        <v>3.6</v>
      </c>
      <c r="BG324" s="31">
        <v>3.4</v>
      </c>
    </row>
    <row r="325" spans="56:59" x14ac:dyDescent="0.2">
      <c r="BD325" s="38">
        <v>5.4</v>
      </c>
      <c r="BE325" s="32">
        <v>5.5</v>
      </c>
      <c r="BF325" s="31">
        <v>5.0999999999999996</v>
      </c>
      <c r="BG325" s="31">
        <v>4.7</v>
      </c>
    </row>
    <row r="326" spans="56:59" x14ac:dyDescent="0.2">
      <c r="BD326" s="1">
        <v>4.5</v>
      </c>
      <c r="BE326" s="31">
        <v>4.2</v>
      </c>
      <c r="BF326">
        <v>5.6</v>
      </c>
      <c r="BG326">
        <v>5.6</v>
      </c>
    </row>
    <row r="327" spans="56:59" x14ac:dyDescent="0.2">
      <c r="BD327" s="1">
        <v>5.0999999999999996</v>
      </c>
      <c r="BE327" s="31">
        <v>5.0999999999999996</v>
      </c>
      <c r="BF327">
        <v>6.5</v>
      </c>
      <c r="BG327">
        <v>6.2</v>
      </c>
    </row>
    <row r="328" spans="56:59" x14ac:dyDescent="0.2">
      <c r="BD328" s="37">
        <v>8.1999999999999993</v>
      </c>
      <c r="BE328" s="31">
        <v>8.4</v>
      </c>
      <c r="BF328" s="31">
        <v>10.3</v>
      </c>
      <c r="BG328" s="31">
        <v>9.4</v>
      </c>
    </row>
    <row r="329" spans="56:59" x14ac:dyDescent="0.2">
      <c r="BD329" s="37">
        <v>12.8</v>
      </c>
      <c r="BE329" s="31">
        <v>13.3</v>
      </c>
      <c r="BF329" s="31">
        <v>7</v>
      </c>
      <c r="BG329" s="31">
        <v>6.4</v>
      </c>
    </row>
    <row r="330" spans="56:59" x14ac:dyDescent="0.2">
      <c r="BD330" s="1">
        <v>3.9</v>
      </c>
      <c r="BE330" s="31">
        <v>3.5</v>
      </c>
      <c r="BF330" s="31">
        <v>5.5</v>
      </c>
      <c r="BG330" s="31">
        <v>6.2</v>
      </c>
    </row>
    <row r="331" spans="56:59" x14ac:dyDescent="0.2">
      <c r="BD331" s="1">
        <v>15.4</v>
      </c>
      <c r="BE331" s="31">
        <v>16.600000000000001</v>
      </c>
      <c r="BF331" s="31">
        <v>5.9</v>
      </c>
      <c r="BG331" s="31">
        <v>5.3</v>
      </c>
    </row>
    <row r="332" spans="56:59" x14ac:dyDescent="0.2">
      <c r="BD332" s="37">
        <v>6.2</v>
      </c>
      <c r="BE332" s="31">
        <v>6.3</v>
      </c>
      <c r="BF332" s="31">
        <v>5.5</v>
      </c>
      <c r="BG332" s="31">
        <v>5.5</v>
      </c>
    </row>
    <row r="333" spans="56:59" x14ac:dyDescent="0.2">
      <c r="BD333" s="37">
        <v>10.6</v>
      </c>
      <c r="BE333" s="31">
        <v>10.7</v>
      </c>
      <c r="BF333" s="32">
        <v>5.5</v>
      </c>
      <c r="BG333" s="32">
        <v>5.5</v>
      </c>
    </row>
    <row r="334" spans="56:59" x14ac:dyDescent="0.2">
      <c r="BD334" s="1">
        <v>5.8</v>
      </c>
      <c r="BE334" s="31">
        <v>5.7</v>
      </c>
      <c r="BF334" s="31">
        <v>4</v>
      </c>
      <c r="BG334" s="31">
        <v>4.2</v>
      </c>
    </row>
    <row r="335" spans="56:59" x14ac:dyDescent="0.2">
      <c r="BD335" s="1">
        <v>6.2</v>
      </c>
      <c r="BE335" s="31">
        <v>6.3</v>
      </c>
      <c r="BF335" s="31">
        <v>5.8</v>
      </c>
      <c r="BG335" s="31">
        <v>5.0999999999999996</v>
      </c>
    </row>
    <row r="336" spans="56:59" x14ac:dyDescent="0.2">
      <c r="BD336" s="1">
        <v>4.0999999999999996</v>
      </c>
      <c r="BE336" s="31">
        <v>4.0999999999999996</v>
      </c>
      <c r="BF336" s="31">
        <v>8.4</v>
      </c>
      <c r="BG336" s="31">
        <v>8.4</v>
      </c>
    </row>
    <row r="337" spans="56:59" x14ac:dyDescent="0.2">
      <c r="BD337" s="35">
        <v>5.6</v>
      </c>
      <c r="BE337" s="31">
        <v>5.9</v>
      </c>
      <c r="BF337" s="31">
        <v>13</v>
      </c>
      <c r="BG337" s="31">
        <v>13.3</v>
      </c>
    </row>
    <row r="338" spans="56:59" x14ac:dyDescent="0.2">
      <c r="BD338" s="1">
        <v>4.4000000000000004</v>
      </c>
      <c r="BE338" s="31">
        <v>4.5999999999999996</v>
      </c>
      <c r="BF338" s="31">
        <v>3.5</v>
      </c>
      <c r="BG338" s="31">
        <v>3.5</v>
      </c>
    </row>
    <row r="339" spans="56:59" x14ac:dyDescent="0.2">
      <c r="BD339" s="1">
        <v>4</v>
      </c>
      <c r="BE339" s="31">
        <v>3.9</v>
      </c>
      <c r="BF339" s="31">
        <v>16.3</v>
      </c>
      <c r="BG339" s="31">
        <v>16.600000000000001</v>
      </c>
    </row>
    <row r="340" spans="56:59" x14ac:dyDescent="0.2">
      <c r="BD340" s="1">
        <v>4.7</v>
      </c>
      <c r="BE340" s="31">
        <v>4.5999999999999996</v>
      </c>
      <c r="BF340" s="31">
        <v>6.6</v>
      </c>
      <c r="BG340" s="31">
        <v>6.3</v>
      </c>
    </row>
    <row r="341" spans="56:59" x14ac:dyDescent="0.2">
      <c r="BD341" s="1">
        <v>4</v>
      </c>
      <c r="BE341" s="31">
        <v>3.5</v>
      </c>
      <c r="BF341" s="31">
        <v>10.6</v>
      </c>
      <c r="BG341" s="31">
        <v>10.7</v>
      </c>
    </row>
    <row r="342" spans="56:59" x14ac:dyDescent="0.2">
      <c r="BD342" s="1">
        <v>3.5</v>
      </c>
      <c r="BE342" s="31">
        <v>3.4</v>
      </c>
      <c r="BF342" s="31">
        <v>5.6</v>
      </c>
      <c r="BG342" s="31">
        <v>5.7</v>
      </c>
    </row>
    <row r="343" spans="56:59" x14ac:dyDescent="0.2">
      <c r="BD343" s="35">
        <v>4.4000000000000004</v>
      </c>
      <c r="BE343" s="31">
        <v>4.5999999999999996</v>
      </c>
      <c r="BF343" s="31">
        <v>6.2</v>
      </c>
      <c r="BG343" s="31">
        <v>6.3</v>
      </c>
    </row>
    <row r="344" spans="56:59" x14ac:dyDescent="0.2">
      <c r="BD344" s="37">
        <v>6.9</v>
      </c>
      <c r="BE344" s="31">
        <v>7</v>
      </c>
      <c r="BF344" s="31">
        <v>3.4</v>
      </c>
      <c r="BG344" s="31">
        <v>4.0999999999999996</v>
      </c>
    </row>
    <row r="345" spans="56:59" x14ac:dyDescent="0.2">
      <c r="BD345" s="37">
        <v>7.9</v>
      </c>
      <c r="BE345" s="31">
        <v>7.4</v>
      </c>
      <c r="BF345" s="31">
        <v>5.0999999999999996</v>
      </c>
      <c r="BG345" s="31">
        <v>5.9</v>
      </c>
    </row>
    <row r="346" spans="56:59" x14ac:dyDescent="0.2">
      <c r="BD346" s="35">
        <v>6.3</v>
      </c>
      <c r="BE346" s="31">
        <v>6.4</v>
      </c>
      <c r="BF346" s="31">
        <v>3.9</v>
      </c>
      <c r="BG346" s="31">
        <v>4.5999999999999996</v>
      </c>
    </row>
    <row r="347" spans="56:59" x14ac:dyDescent="0.2">
      <c r="BD347" s="37">
        <v>9.4</v>
      </c>
      <c r="BE347" s="31">
        <v>9.6999999999999993</v>
      </c>
      <c r="BF347" s="31">
        <v>3.8</v>
      </c>
      <c r="BG347" s="31">
        <v>3.9</v>
      </c>
    </row>
    <row r="348" spans="56:59" x14ac:dyDescent="0.2">
      <c r="BD348" s="1">
        <v>4.0999999999999996</v>
      </c>
      <c r="BE348" s="31">
        <v>4.5999999999999996</v>
      </c>
      <c r="BF348" s="31">
        <v>3.8</v>
      </c>
      <c r="BG348" s="31">
        <v>4.5999999999999996</v>
      </c>
    </row>
    <row r="349" spans="56:59" x14ac:dyDescent="0.2">
      <c r="BD349" s="1">
        <v>3.2</v>
      </c>
      <c r="BE349" s="31">
        <v>3.1</v>
      </c>
      <c r="BF349" s="31">
        <v>3.7</v>
      </c>
      <c r="BG349" s="31">
        <v>3.5</v>
      </c>
    </row>
    <row r="350" spans="56:59" x14ac:dyDescent="0.2">
      <c r="BD350" s="37">
        <v>6.7</v>
      </c>
      <c r="BE350" s="31">
        <v>6.8</v>
      </c>
      <c r="BF350" s="31">
        <v>3.4</v>
      </c>
      <c r="BG350" s="31">
        <v>3.4</v>
      </c>
    </row>
    <row r="351" spans="56:59" x14ac:dyDescent="0.2">
      <c r="BD351" s="37">
        <v>6.3</v>
      </c>
      <c r="BE351" s="31">
        <v>6.3</v>
      </c>
      <c r="BF351" s="31">
        <v>4.8</v>
      </c>
      <c r="BG351" s="31">
        <v>4.5999999999999996</v>
      </c>
    </row>
    <row r="352" spans="56:59" x14ac:dyDescent="0.2">
      <c r="BD352" s="1">
        <v>3.5</v>
      </c>
      <c r="BE352" s="31">
        <v>3.6</v>
      </c>
      <c r="BF352" s="31">
        <v>7.6</v>
      </c>
      <c r="BG352" s="31">
        <v>7</v>
      </c>
    </row>
    <row r="353" spans="56:59" x14ac:dyDescent="0.2">
      <c r="BD353" s="1">
        <v>3.8</v>
      </c>
      <c r="BE353" s="31">
        <v>4</v>
      </c>
      <c r="BF353" s="31">
        <v>7.4</v>
      </c>
      <c r="BG353" s="31">
        <v>7.4</v>
      </c>
    </row>
    <row r="354" spans="56:59" x14ac:dyDescent="0.2">
      <c r="BF354" s="31">
        <v>6.6</v>
      </c>
      <c r="BG354" s="31">
        <v>6.4</v>
      </c>
    </row>
    <row r="355" spans="56:59" x14ac:dyDescent="0.2">
      <c r="BF355" s="31">
        <v>9.9</v>
      </c>
      <c r="BG355" s="31">
        <v>9.6999999999999993</v>
      </c>
    </row>
    <row r="356" spans="56:59" x14ac:dyDescent="0.2">
      <c r="BF356" s="31">
        <v>4</v>
      </c>
      <c r="BG356" s="31">
        <v>4.5999999999999996</v>
      </c>
    </row>
    <row r="357" spans="56:59" x14ac:dyDescent="0.2">
      <c r="BF357" s="31">
        <v>3.5</v>
      </c>
      <c r="BG357" s="31">
        <v>3.1</v>
      </c>
    </row>
    <row r="358" spans="56:59" x14ac:dyDescent="0.2">
      <c r="BF358" s="31">
        <v>5.9</v>
      </c>
      <c r="BG358" s="31">
        <v>6.8</v>
      </c>
    </row>
    <row r="359" spans="56:59" x14ac:dyDescent="0.2">
      <c r="BF359" s="31">
        <v>6.1</v>
      </c>
      <c r="BG359" s="31">
        <v>6.3</v>
      </c>
    </row>
    <row r="360" spans="56:59" x14ac:dyDescent="0.2">
      <c r="BF360" s="31">
        <v>3.5</v>
      </c>
      <c r="BG360" s="31">
        <v>3.6</v>
      </c>
    </row>
    <row r="361" spans="56:59" x14ac:dyDescent="0.2">
      <c r="BF361" s="31">
        <v>4.4000000000000004</v>
      </c>
      <c r="BG361" s="31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7CA5-EC6F-CF4C-BB72-D474CC2EE1DA}">
  <dimension ref="A1:CR361"/>
  <sheetViews>
    <sheetView topLeftCell="A36" zoomScaleNormal="90" workbookViewId="0">
      <pane xSplit="1" topLeftCell="AK1" activePane="topRight" state="frozen"/>
      <selection pane="topRight" activeCell="BI1" sqref="BI1:BT67"/>
    </sheetView>
  </sheetViews>
  <sheetFormatPr baseColWidth="10" defaultRowHeight="16" outlineLevelCol="1" x14ac:dyDescent="0.2"/>
  <cols>
    <col min="2" max="2" width="8.33203125" hidden="1" customWidth="1" outlineLevel="1"/>
    <col min="3" max="3" width="8.33203125" style="2" hidden="1" customWidth="1" outlineLevel="1"/>
    <col min="4" max="4" width="0" hidden="1" customWidth="1" outlineLevel="1"/>
    <col min="5" max="6" width="11.6640625" hidden="1" customWidth="1" outlineLevel="1"/>
    <col min="7" max="7" width="0" hidden="1" customWidth="1" outlineLevel="1"/>
    <col min="8" max="8" width="10.83203125" style="42" collapsed="1"/>
    <col min="9" max="9" width="10.83203125" style="42"/>
    <col min="10" max="11" width="0" hidden="1" customWidth="1" outlineLevel="1"/>
    <col min="12" max="12" width="10.83203125" style="42" collapsed="1"/>
    <col min="13" max="14" width="0" hidden="1" customWidth="1" outlineLevel="1"/>
    <col min="15" max="15" width="12" hidden="1" customWidth="1" outlineLevel="1"/>
    <col min="16" max="17" width="0" hidden="1" customWidth="1" outlineLevel="1"/>
    <col min="18" max="18" width="0" style="2" hidden="1" customWidth="1" outlineLevel="1"/>
    <col min="19" max="19" width="11.5" style="46" customWidth="1" collapsed="1"/>
    <col min="20" max="22" width="10.83203125" style="46"/>
    <col min="23" max="27" width="0" hidden="1" customWidth="1" outlineLevel="1"/>
    <col min="28" max="28" width="10.83203125" style="49" collapsed="1"/>
    <col min="29" max="31" width="10.83203125" style="46"/>
    <col min="32" max="36" width="0" hidden="1" customWidth="1" outlineLevel="1"/>
    <col min="37" max="37" width="10.83203125" style="49" collapsed="1"/>
    <col min="38" max="40" width="10.83203125" style="46"/>
    <col min="41" max="45" width="0" hidden="1" customWidth="1" outlineLevel="1"/>
    <col min="46" max="46" width="10.83203125" style="52" collapsed="1"/>
    <col min="47" max="47" width="10.5" style="1" hidden="1" customWidth="1" outlineLevel="1"/>
    <col min="48" max="48" width="10.5" hidden="1" customWidth="1" outlineLevel="1"/>
    <col min="49" max="49" width="9.6640625" hidden="1" customWidth="1" outlineLevel="1"/>
    <col min="50" max="50" width="11.5" hidden="1" customWidth="1" outlineLevel="1"/>
    <col min="51" max="51" width="8.33203125" hidden="1" customWidth="1" outlineLevel="1"/>
    <col min="52" max="52" width="15.83203125" hidden="1" customWidth="1" outlineLevel="1"/>
    <col min="53" max="53" width="16.1640625" hidden="1" customWidth="1" outlineLevel="1"/>
    <col min="54" max="54" width="9.1640625" hidden="1" customWidth="1" outlineLevel="1"/>
    <col min="55" max="55" width="8.6640625" hidden="1" customWidth="1" outlineLevel="1"/>
    <col min="56" max="56" width="0" style="1" hidden="1" customWidth="1" outlineLevel="1"/>
    <col min="57" max="59" width="0" hidden="1" customWidth="1" outlineLevel="1"/>
    <col min="60" max="60" width="10.83203125" collapsed="1"/>
  </cols>
  <sheetData>
    <row r="1" spans="1:72" s="8" customFormat="1" ht="16" customHeight="1" x14ac:dyDescent="0.2">
      <c r="A1" s="18" t="s">
        <v>100</v>
      </c>
      <c r="B1" s="20" t="s">
        <v>118</v>
      </c>
      <c r="C1" s="28" t="s">
        <v>119</v>
      </c>
      <c r="D1" s="20" t="s">
        <v>104</v>
      </c>
      <c r="E1" s="20" t="s">
        <v>112</v>
      </c>
      <c r="F1" s="20" t="s">
        <v>113</v>
      </c>
      <c r="G1" s="19" t="s">
        <v>99</v>
      </c>
      <c r="H1" s="41" t="s">
        <v>98</v>
      </c>
      <c r="I1" s="41" t="s">
        <v>97</v>
      </c>
      <c r="J1" s="15" t="s">
        <v>122</v>
      </c>
      <c r="K1" s="15" t="s">
        <v>96</v>
      </c>
      <c r="L1" s="41" t="s">
        <v>95</v>
      </c>
      <c r="M1" s="16" t="s">
        <v>94</v>
      </c>
      <c r="N1" s="15" t="s">
        <v>93</v>
      </c>
      <c r="O1" s="15" t="s">
        <v>92</v>
      </c>
      <c r="P1" s="15" t="s">
        <v>91</v>
      </c>
      <c r="Q1" s="15" t="s">
        <v>90</v>
      </c>
      <c r="R1" s="14" t="s">
        <v>89</v>
      </c>
      <c r="S1" s="44" t="s">
        <v>88</v>
      </c>
      <c r="T1" s="45" t="s">
        <v>106</v>
      </c>
      <c r="U1" s="45" t="s">
        <v>87</v>
      </c>
      <c r="V1" s="45" t="s">
        <v>120</v>
      </c>
      <c r="W1" s="27" t="s">
        <v>115</v>
      </c>
      <c r="X1" s="23" t="s">
        <v>86</v>
      </c>
      <c r="Y1" s="23" t="s">
        <v>85</v>
      </c>
      <c r="Z1" s="23" t="s">
        <v>85</v>
      </c>
      <c r="AA1" s="23" t="s">
        <v>84</v>
      </c>
      <c r="AB1" s="48" t="s">
        <v>83</v>
      </c>
      <c r="AC1" s="44" t="s">
        <v>82</v>
      </c>
      <c r="AD1" s="45" t="s">
        <v>107</v>
      </c>
      <c r="AE1" s="45" t="s">
        <v>81</v>
      </c>
      <c r="AF1" s="27" t="s">
        <v>116</v>
      </c>
      <c r="AG1" s="23" t="s">
        <v>80</v>
      </c>
      <c r="AH1" s="23" t="s">
        <v>79</v>
      </c>
      <c r="AI1" s="23" t="s">
        <v>79</v>
      </c>
      <c r="AJ1" s="23" t="s">
        <v>78</v>
      </c>
      <c r="AK1" s="48" t="s">
        <v>77</v>
      </c>
      <c r="AL1" s="44" t="s">
        <v>76</v>
      </c>
      <c r="AM1" s="45" t="s">
        <v>108</v>
      </c>
      <c r="AN1" s="45" t="s">
        <v>75</v>
      </c>
      <c r="AO1" s="27" t="s">
        <v>117</v>
      </c>
      <c r="AP1" s="23" t="s">
        <v>74</v>
      </c>
      <c r="AQ1" s="23" t="s">
        <v>73</v>
      </c>
      <c r="AR1" s="23" t="s">
        <v>73</v>
      </c>
      <c r="AS1" s="23" t="s">
        <v>72</v>
      </c>
      <c r="AT1" s="51" t="s">
        <v>71</v>
      </c>
      <c r="AU1" s="25" t="s">
        <v>101</v>
      </c>
      <c r="AV1" s="30" t="s">
        <v>121</v>
      </c>
      <c r="AW1" s="17" t="s">
        <v>105</v>
      </c>
      <c r="AX1" s="17" t="s">
        <v>102</v>
      </c>
      <c r="AY1" s="17" t="s">
        <v>103</v>
      </c>
      <c r="AZ1" s="17" t="s">
        <v>109</v>
      </c>
      <c r="BA1" s="17" t="s">
        <v>110</v>
      </c>
      <c r="BB1" s="17" t="s">
        <v>111</v>
      </c>
      <c r="BC1" s="29" t="s">
        <v>114</v>
      </c>
      <c r="BD1" s="9" t="s">
        <v>125</v>
      </c>
      <c r="BE1" s="8" t="s">
        <v>126</v>
      </c>
      <c r="BF1" s="8" t="s">
        <v>123</v>
      </c>
      <c r="BG1" s="8" t="s">
        <v>124</v>
      </c>
      <c r="BI1" s="8" t="s">
        <v>127</v>
      </c>
      <c r="BJ1" s="8" t="s">
        <v>128</v>
      </c>
      <c r="BK1" s="8" t="s">
        <v>129</v>
      </c>
      <c r="BL1" s="8" t="s">
        <v>130</v>
      </c>
      <c r="BM1" s="8" t="s">
        <v>131</v>
      </c>
      <c r="BN1" s="8" t="s">
        <v>132</v>
      </c>
      <c r="BO1" s="8" t="s">
        <v>133</v>
      </c>
      <c r="BP1" s="8" t="s">
        <v>134</v>
      </c>
      <c r="BQ1" s="8" t="s">
        <v>135</v>
      </c>
      <c r="BR1" s="8" t="s">
        <v>136</v>
      </c>
      <c r="BS1" s="8" t="s">
        <v>137</v>
      </c>
      <c r="BT1" s="8" t="s">
        <v>138</v>
      </c>
    </row>
    <row r="2" spans="1:72" x14ac:dyDescent="0.2">
      <c r="A2" t="s">
        <v>70</v>
      </c>
      <c r="B2">
        <v>1</v>
      </c>
      <c r="C2" s="2">
        <v>1</v>
      </c>
      <c r="D2">
        <v>1</v>
      </c>
      <c r="E2">
        <v>1</v>
      </c>
      <c r="F2">
        <v>1</v>
      </c>
      <c r="G2">
        <v>1</v>
      </c>
      <c r="H2" s="42">
        <v>75</v>
      </c>
      <c r="I2" s="42">
        <v>170</v>
      </c>
      <c r="J2">
        <v>21.246222222222222</v>
      </c>
      <c r="K2">
        <v>19</v>
      </c>
      <c r="L2" s="42">
        <v>1</v>
      </c>
      <c r="M2" t="s">
        <v>0</v>
      </c>
      <c r="N2">
        <v>17</v>
      </c>
      <c r="O2">
        <v>4</v>
      </c>
      <c r="P2">
        <v>0</v>
      </c>
      <c r="Q2">
        <v>0</v>
      </c>
      <c r="R2" s="2">
        <v>1</v>
      </c>
      <c r="S2" s="46">
        <v>95</v>
      </c>
      <c r="T2" s="46">
        <v>0</v>
      </c>
      <c r="U2" s="46">
        <v>0</v>
      </c>
      <c r="V2" s="46">
        <v>0</v>
      </c>
      <c r="W2">
        <v>0</v>
      </c>
      <c r="X2">
        <v>4.2</v>
      </c>
      <c r="Y2">
        <v>4.3</v>
      </c>
      <c r="Z2" s="31">
        <v>4.3</v>
      </c>
      <c r="AA2" s="31">
        <v>4.4000000000000004</v>
      </c>
      <c r="AB2" s="49">
        <v>4.3000000000000007</v>
      </c>
      <c r="AC2" s="46">
        <v>94</v>
      </c>
      <c r="AD2" s="46">
        <v>0</v>
      </c>
      <c r="AE2" s="46">
        <v>0</v>
      </c>
      <c r="AF2">
        <v>0</v>
      </c>
      <c r="AG2">
        <v>4.5</v>
      </c>
      <c r="AH2">
        <v>4.5999999999999996</v>
      </c>
      <c r="AI2" s="31">
        <v>4.5999999999999996</v>
      </c>
      <c r="AJ2" s="31">
        <v>4.8</v>
      </c>
      <c r="AK2" s="49">
        <v>4.625</v>
      </c>
      <c r="AL2" s="46">
        <v>98</v>
      </c>
      <c r="AM2" s="46">
        <v>0</v>
      </c>
      <c r="AN2" s="46">
        <v>0</v>
      </c>
      <c r="AO2">
        <v>0</v>
      </c>
      <c r="AP2">
        <v>6.3</v>
      </c>
      <c r="AQ2">
        <v>6.2</v>
      </c>
      <c r="AR2" s="31">
        <v>6.6</v>
      </c>
      <c r="AS2" s="31">
        <v>6</v>
      </c>
      <c r="AT2" s="52">
        <v>6.2750000000000004</v>
      </c>
      <c r="AU2" s="1">
        <v>0</v>
      </c>
      <c r="AV2" s="1">
        <v>0</v>
      </c>
      <c r="AW2">
        <v>0</v>
      </c>
      <c r="AX2">
        <v>0</v>
      </c>
      <c r="AY2">
        <v>0</v>
      </c>
      <c r="AZ2">
        <v>1</v>
      </c>
      <c r="BA2">
        <v>-3</v>
      </c>
      <c r="BB2">
        <v>0</v>
      </c>
      <c r="BC2">
        <v>0</v>
      </c>
      <c r="BD2" s="1">
        <v>4.2</v>
      </c>
      <c r="BE2" s="31">
        <v>4.3</v>
      </c>
      <c r="BF2">
        <v>4.2</v>
      </c>
      <c r="BG2">
        <v>4.3</v>
      </c>
      <c r="BI2">
        <f>+AC2-S2</f>
        <v>-1</v>
      </c>
      <c r="BJ2">
        <f>+AD2-T2</f>
        <v>0</v>
      </c>
      <c r="BK2">
        <f>+AE2-U2</f>
        <v>0</v>
      </c>
      <c r="BL2" s="53">
        <f>+AK2-AB2</f>
        <v>0.32499999999999929</v>
      </c>
      <c r="BM2">
        <f>+AL2-AC2</f>
        <v>4</v>
      </c>
      <c r="BN2">
        <f>+AM2-AD2</f>
        <v>0</v>
      </c>
      <c r="BO2">
        <f>+AN2-AE2</f>
        <v>0</v>
      </c>
      <c r="BP2" s="53">
        <f>+AT2-AK2</f>
        <v>1.6500000000000004</v>
      </c>
      <c r="BQ2">
        <f>+AL2-S2</f>
        <v>3</v>
      </c>
      <c r="BR2">
        <f>+AM2-T2</f>
        <v>0</v>
      </c>
      <c r="BS2">
        <f>+AN2-U2</f>
        <v>0</v>
      </c>
      <c r="BT2" s="53">
        <f>+AT2-AB2</f>
        <v>1.9749999999999996</v>
      </c>
    </row>
    <row r="3" spans="1:72" x14ac:dyDescent="0.2">
      <c r="A3" t="s">
        <v>69</v>
      </c>
      <c r="B3">
        <v>1</v>
      </c>
      <c r="C3" s="2">
        <v>1</v>
      </c>
      <c r="D3">
        <v>1</v>
      </c>
      <c r="E3">
        <v>1</v>
      </c>
      <c r="F3">
        <v>1</v>
      </c>
      <c r="G3">
        <v>1</v>
      </c>
      <c r="H3" s="42">
        <v>75</v>
      </c>
      <c r="I3" s="42">
        <v>170</v>
      </c>
      <c r="J3">
        <v>21.246222222222222</v>
      </c>
      <c r="K3">
        <v>19</v>
      </c>
      <c r="L3" s="42">
        <v>1</v>
      </c>
      <c r="M3" t="s">
        <v>0</v>
      </c>
      <c r="N3">
        <v>17</v>
      </c>
      <c r="O3">
        <v>4</v>
      </c>
      <c r="P3">
        <v>0</v>
      </c>
      <c r="Q3">
        <v>0</v>
      </c>
      <c r="R3" s="2">
        <v>1</v>
      </c>
      <c r="S3" s="46">
        <v>100</v>
      </c>
      <c r="T3" s="46">
        <v>0</v>
      </c>
      <c r="U3" s="46">
        <v>1</v>
      </c>
      <c r="V3" s="46">
        <v>0</v>
      </c>
      <c r="W3">
        <v>0</v>
      </c>
      <c r="X3">
        <v>4.4000000000000004</v>
      </c>
      <c r="Y3">
        <v>4.9000000000000004</v>
      </c>
      <c r="Z3" s="31">
        <v>4.3</v>
      </c>
      <c r="AA3" s="31">
        <v>4.5999999999999996</v>
      </c>
      <c r="AB3" s="49">
        <v>4.5500000000000007</v>
      </c>
      <c r="AC3" s="46">
        <v>100</v>
      </c>
      <c r="AD3" s="46">
        <v>0</v>
      </c>
      <c r="AE3" s="46">
        <v>0</v>
      </c>
      <c r="AF3">
        <v>0</v>
      </c>
      <c r="AG3">
        <v>4.4000000000000004</v>
      </c>
      <c r="AH3">
        <v>4.5</v>
      </c>
      <c r="AI3" s="31">
        <v>4.7</v>
      </c>
      <c r="AJ3" s="31">
        <v>4.4000000000000004</v>
      </c>
      <c r="AK3" s="49">
        <v>4.5</v>
      </c>
      <c r="AL3" s="46">
        <v>98</v>
      </c>
      <c r="AM3" s="46">
        <v>0</v>
      </c>
      <c r="AN3" s="46">
        <v>1</v>
      </c>
      <c r="AO3">
        <v>1</v>
      </c>
      <c r="AP3">
        <v>5.9</v>
      </c>
      <c r="AQ3">
        <v>6</v>
      </c>
      <c r="AR3" s="31">
        <v>6.3</v>
      </c>
      <c r="AS3" s="31">
        <v>6.9</v>
      </c>
      <c r="AT3" s="52">
        <v>6.2750000000000004</v>
      </c>
      <c r="AU3" s="1">
        <v>0</v>
      </c>
      <c r="AV3" s="1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>
        <v>1</v>
      </c>
      <c r="BD3" s="1">
        <v>4.4000000000000004</v>
      </c>
      <c r="BE3" s="31">
        <v>4.3</v>
      </c>
      <c r="BF3">
        <v>4.4000000000000004</v>
      </c>
      <c r="BG3">
        <v>4.9000000000000004</v>
      </c>
      <c r="BI3">
        <f t="shared" ref="BI3:BI66" si="0">+AC3-S3</f>
        <v>0</v>
      </c>
      <c r="BJ3">
        <f t="shared" ref="BJ3:BJ66" si="1">+AD3-T3</f>
        <v>0</v>
      </c>
      <c r="BK3">
        <f t="shared" ref="BK3:BK66" si="2">+AE3-U3</f>
        <v>-1</v>
      </c>
      <c r="BL3" s="53">
        <f t="shared" ref="BL3:BL66" si="3">+AK3-AB3</f>
        <v>-5.0000000000000711E-2</v>
      </c>
      <c r="BM3">
        <f t="shared" ref="BM3:BM66" si="4">+AL3-AC3</f>
        <v>-2</v>
      </c>
      <c r="BN3">
        <f t="shared" ref="BN3:BN66" si="5">+AM3-AD3</f>
        <v>0</v>
      </c>
      <c r="BO3">
        <f t="shared" ref="BO3:BO66" si="6">+AN3-AE3</f>
        <v>1</v>
      </c>
      <c r="BP3" s="53">
        <f t="shared" ref="BP3:BP66" si="7">+AT3-AK3</f>
        <v>1.7750000000000004</v>
      </c>
      <c r="BQ3">
        <f t="shared" ref="BQ3:BQ66" si="8">+AL3-S3</f>
        <v>-2</v>
      </c>
      <c r="BR3">
        <f t="shared" ref="BR3:BR66" si="9">+AM3-T3</f>
        <v>0</v>
      </c>
      <c r="BS3">
        <f t="shared" ref="BS3:BS66" si="10">+AN3-U3</f>
        <v>0</v>
      </c>
      <c r="BT3" s="53">
        <f t="shared" ref="BT3:BT66" si="11">+AT3-AB3</f>
        <v>1.7249999999999996</v>
      </c>
    </row>
    <row r="4" spans="1:72" x14ac:dyDescent="0.2">
      <c r="A4" t="s">
        <v>68</v>
      </c>
      <c r="B4">
        <v>2</v>
      </c>
      <c r="C4" s="2">
        <v>1</v>
      </c>
      <c r="D4">
        <v>1</v>
      </c>
      <c r="E4">
        <v>1</v>
      </c>
      <c r="F4">
        <v>1</v>
      </c>
      <c r="G4">
        <v>1</v>
      </c>
      <c r="H4" s="42">
        <v>71</v>
      </c>
      <c r="I4" s="42">
        <v>180</v>
      </c>
      <c r="J4">
        <v>25.102162269390995</v>
      </c>
      <c r="K4">
        <v>22</v>
      </c>
      <c r="L4" s="42">
        <v>1</v>
      </c>
      <c r="M4" s="11" t="s">
        <v>66</v>
      </c>
      <c r="N4">
        <v>12</v>
      </c>
      <c r="O4">
        <v>5</v>
      </c>
      <c r="P4">
        <v>0</v>
      </c>
      <c r="Q4">
        <v>0</v>
      </c>
      <c r="R4" s="2">
        <v>0</v>
      </c>
      <c r="S4" s="46">
        <v>98</v>
      </c>
      <c r="T4" s="46">
        <v>0</v>
      </c>
      <c r="U4" s="46">
        <v>0</v>
      </c>
      <c r="V4" s="46">
        <v>0</v>
      </c>
      <c r="W4">
        <v>0</v>
      </c>
      <c r="X4">
        <v>3.5</v>
      </c>
      <c r="Y4">
        <v>3.2</v>
      </c>
      <c r="Z4" s="31">
        <v>3.6</v>
      </c>
      <c r="AA4" s="31">
        <v>3.7</v>
      </c>
      <c r="AB4" s="49">
        <v>3.5</v>
      </c>
      <c r="AC4" s="46">
        <v>70</v>
      </c>
      <c r="AD4" s="46">
        <v>0</v>
      </c>
      <c r="AE4" s="46">
        <v>0</v>
      </c>
      <c r="AF4">
        <v>0</v>
      </c>
      <c r="AG4">
        <v>3.7</v>
      </c>
      <c r="AH4">
        <v>3.6</v>
      </c>
      <c r="AI4" s="31">
        <v>3.9</v>
      </c>
      <c r="AJ4" s="31">
        <v>3.9</v>
      </c>
      <c r="AK4" s="49">
        <v>3.7750000000000004</v>
      </c>
      <c r="AL4" s="46">
        <v>89</v>
      </c>
      <c r="AM4" s="46">
        <v>1</v>
      </c>
      <c r="AN4" s="46">
        <v>0</v>
      </c>
      <c r="AO4">
        <v>1</v>
      </c>
      <c r="AP4">
        <v>3.7</v>
      </c>
      <c r="AQ4" s="7">
        <v>3.9</v>
      </c>
      <c r="AR4" s="31">
        <v>3.9</v>
      </c>
      <c r="AS4" s="31">
        <v>4</v>
      </c>
      <c r="AT4" s="52">
        <v>3.875</v>
      </c>
      <c r="AU4" s="1">
        <v>0</v>
      </c>
      <c r="AV4" s="1">
        <v>0</v>
      </c>
      <c r="AW4">
        <v>0</v>
      </c>
      <c r="AX4">
        <v>1</v>
      </c>
      <c r="AY4">
        <v>1</v>
      </c>
      <c r="AZ4">
        <v>28</v>
      </c>
      <c r="BA4">
        <v>9</v>
      </c>
      <c r="BB4">
        <v>1</v>
      </c>
      <c r="BC4">
        <v>1</v>
      </c>
      <c r="BD4" s="1">
        <v>3.5</v>
      </c>
      <c r="BE4" s="31">
        <v>3.6</v>
      </c>
      <c r="BF4">
        <v>3.5</v>
      </c>
      <c r="BG4">
        <v>3.2</v>
      </c>
      <c r="BI4">
        <f t="shared" si="0"/>
        <v>-28</v>
      </c>
      <c r="BJ4">
        <f t="shared" si="1"/>
        <v>0</v>
      </c>
      <c r="BK4">
        <f t="shared" si="2"/>
        <v>0</v>
      </c>
      <c r="BL4" s="53">
        <f t="shared" si="3"/>
        <v>0.27500000000000036</v>
      </c>
      <c r="BM4">
        <f t="shared" si="4"/>
        <v>19</v>
      </c>
      <c r="BN4">
        <f t="shared" si="5"/>
        <v>1</v>
      </c>
      <c r="BO4">
        <f t="shared" si="6"/>
        <v>0</v>
      </c>
      <c r="BP4" s="53">
        <f t="shared" si="7"/>
        <v>9.9999999999999645E-2</v>
      </c>
      <c r="BQ4">
        <f t="shared" si="8"/>
        <v>-9</v>
      </c>
      <c r="BR4">
        <f t="shared" si="9"/>
        <v>1</v>
      </c>
      <c r="BS4">
        <f t="shared" si="10"/>
        <v>0</v>
      </c>
      <c r="BT4" s="53">
        <f t="shared" si="11"/>
        <v>0.375</v>
      </c>
    </row>
    <row r="5" spans="1:72" x14ac:dyDescent="0.2">
      <c r="A5" t="s">
        <v>67</v>
      </c>
      <c r="B5">
        <v>2</v>
      </c>
      <c r="C5" s="2">
        <v>1</v>
      </c>
      <c r="D5">
        <v>1</v>
      </c>
      <c r="E5">
        <v>0</v>
      </c>
      <c r="F5">
        <v>1</v>
      </c>
      <c r="G5">
        <v>1</v>
      </c>
      <c r="H5" s="42">
        <v>71</v>
      </c>
      <c r="I5" s="42">
        <v>180</v>
      </c>
      <c r="J5">
        <v>25.102162269390995</v>
      </c>
      <c r="K5">
        <v>22</v>
      </c>
      <c r="L5" s="42">
        <v>1</v>
      </c>
      <c r="M5" s="11" t="s">
        <v>66</v>
      </c>
      <c r="N5">
        <v>12</v>
      </c>
      <c r="O5">
        <v>5</v>
      </c>
      <c r="P5">
        <v>1</v>
      </c>
      <c r="Q5">
        <v>0</v>
      </c>
      <c r="R5" s="2">
        <v>0</v>
      </c>
      <c r="S5" s="46">
        <v>51</v>
      </c>
      <c r="T5" s="46">
        <v>0</v>
      </c>
      <c r="U5" s="46">
        <v>0</v>
      </c>
      <c r="V5" s="46">
        <v>1</v>
      </c>
      <c r="W5">
        <v>0</v>
      </c>
      <c r="X5">
        <v>5</v>
      </c>
      <c r="Y5">
        <v>4.9000000000000004</v>
      </c>
      <c r="Z5" s="31">
        <v>5.0999999999999996</v>
      </c>
      <c r="AA5" s="31">
        <v>5.2</v>
      </c>
      <c r="AB5" s="49">
        <v>5.05</v>
      </c>
      <c r="AC5" s="46">
        <v>56</v>
      </c>
      <c r="AD5" s="46">
        <v>0</v>
      </c>
      <c r="AE5" s="46">
        <v>0</v>
      </c>
      <c r="AF5">
        <v>0</v>
      </c>
      <c r="AG5">
        <v>5.0999999999999996</v>
      </c>
      <c r="AH5">
        <v>5.3</v>
      </c>
      <c r="AI5" s="31">
        <v>5.2</v>
      </c>
      <c r="AJ5" s="31">
        <v>5.3</v>
      </c>
      <c r="AK5" s="49">
        <v>5.2249999999999996</v>
      </c>
      <c r="AL5" s="46">
        <v>76</v>
      </c>
      <c r="AM5" s="46">
        <v>0</v>
      </c>
      <c r="AN5" s="46">
        <v>0</v>
      </c>
      <c r="AO5">
        <v>1</v>
      </c>
      <c r="AP5" s="7">
        <v>6.8</v>
      </c>
      <c r="AQ5" s="7">
        <v>6.8</v>
      </c>
      <c r="AR5" s="31">
        <v>7.4</v>
      </c>
      <c r="AS5" s="31">
        <v>6.8</v>
      </c>
      <c r="AT5" s="52">
        <v>6.95</v>
      </c>
      <c r="AU5" s="1">
        <v>0</v>
      </c>
      <c r="AV5" s="1">
        <v>0</v>
      </c>
      <c r="AW5">
        <v>0</v>
      </c>
      <c r="AX5">
        <v>1</v>
      </c>
      <c r="AY5">
        <v>1</v>
      </c>
      <c r="AZ5">
        <v>-5</v>
      </c>
      <c r="BA5">
        <v>-25</v>
      </c>
      <c r="BB5">
        <v>0</v>
      </c>
      <c r="BC5">
        <v>1</v>
      </c>
      <c r="BD5" s="1">
        <v>5</v>
      </c>
      <c r="BE5" s="31">
        <v>5.0999999999999996</v>
      </c>
      <c r="BF5">
        <v>5</v>
      </c>
      <c r="BG5">
        <v>4.9000000000000004</v>
      </c>
      <c r="BI5">
        <f t="shared" si="0"/>
        <v>5</v>
      </c>
      <c r="BJ5">
        <f t="shared" si="1"/>
        <v>0</v>
      </c>
      <c r="BK5">
        <f t="shared" si="2"/>
        <v>0</v>
      </c>
      <c r="BL5" s="53">
        <f t="shared" si="3"/>
        <v>0.17499999999999982</v>
      </c>
      <c r="BM5">
        <f t="shared" si="4"/>
        <v>20</v>
      </c>
      <c r="BN5">
        <f t="shared" si="5"/>
        <v>0</v>
      </c>
      <c r="BO5">
        <f t="shared" si="6"/>
        <v>0</v>
      </c>
      <c r="BP5" s="53">
        <f t="shared" si="7"/>
        <v>1.7250000000000005</v>
      </c>
      <c r="BQ5">
        <f t="shared" si="8"/>
        <v>25</v>
      </c>
      <c r="BR5">
        <f t="shared" si="9"/>
        <v>0</v>
      </c>
      <c r="BS5">
        <f t="shared" si="10"/>
        <v>0</v>
      </c>
      <c r="BT5" s="53">
        <f t="shared" si="11"/>
        <v>1.9000000000000004</v>
      </c>
    </row>
    <row r="6" spans="1:72" x14ac:dyDescent="0.2">
      <c r="A6" t="s">
        <v>65</v>
      </c>
      <c r="B6">
        <v>3</v>
      </c>
      <c r="C6" s="2">
        <v>1</v>
      </c>
      <c r="D6">
        <v>1</v>
      </c>
      <c r="E6">
        <v>1</v>
      </c>
      <c r="F6">
        <v>1</v>
      </c>
      <c r="G6">
        <v>1</v>
      </c>
      <c r="H6" s="42">
        <v>69</v>
      </c>
      <c r="I6" s="42">
        <v>165</v>
      </c>
      <c r="J6">
        <v>24.363579080025207</v>
      </c>
      <c r="K6">
        <v>22</v>
      </c>
      <c r="L6" s="42">
        <v>1</v>
      </c>
      <c r="M6" t="s">
        <v>12</v>
      </c>
      <c r="N6">
        <v>14</v>
      </c>
      <c r="O6">
        <v>8</v>
      </c>
      <c r="P6">
        <v>0</v>
      </c>
      <c r="Q6">
        <v>0</v>
      </c>
      <c r="R6" s="2">
        <v>0</v>
      </c>
      <c r="S6" s="46">
        <v>100</v>
      </c>
      <c r="T6" s="46">
        <v>0</v>
      </c>
      <c r="U6" s="46">
        <v>0</v>
      </c>
      <c r="V6" s="46">
        <v>0</v>
      </c>
      <c r="W6">
        <v>0</v>
      </c>
      <c r="X6">
        <v>3.8</v>
      </c>
      <c r="Y6">
        <v>4.4000000000000004</v>
      </c>
      <c r="Z6" s="31">
        <v>3.6</v>
      </c>
      <c r="AA6" s="31">
        <v>4.3</v>
      </c>
      <c r="AB6" s="49">
        <v>4.0249999999999995</v>
      </c>
      <c r="AC6" s="46">
        <v>100</v>
      </c>
      <c r="AD6" s="46">
        <v>0</v>
      </c>
      <c r="AE6" s="46">
        <v>0</v>
      </c>
      <c r="AF6">
        <v>1</v>
      </c>
      <c r="AG6">
        <v>4.5999999999999996</v>
      </c>
      <c r="AH6" s="7">
        <v>5.3</v>
      </c>
      <c r="AI6" s="31">
        <v>4.4000000000000004</v>
      </c>
      <c r="AJ6" s="31">
        <v>4.4000000000000004</v>
      </c>
      <c r="AK6" s="49">
        <v>4.6749999999999998</v>
      </c>
      <c r="AL6" s="46">
        <v>100</v>
      </c>
      <c r="AM6" s="46">
        <v>0</v>
      </c>
      <c r="AN6" s="46">
        <v>0</v>
      </c>
      <c r="AO6">
        <v>1</v>
      </c>
      <c r="AP6" s="7">
        <v>5.2</v>
      </c>
      <c r="AQ6" s="7">
        <v>4.3</v>
      </c>
      <c r="AR6" s="31">
        <v>5.4</v>
      </c>
      <c r="AS6" s="31">
        <v>4.4000000000000004</v>
      </c>
      <c r="AT6" s="52">
        <v>4.8250000000000002</v>
      </c>
      <c r="AU6" s="1">
        <v>0</v>
      </c>
      <c r="AV6" s="1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 s="1">
        <v>3.8</v>
      </c>
      <c r="BE6" s="31">
        <v>3.6</v>
      </c>
      <c r="BF6">
        <v>3.8</v>
      </c>
      <c r="BG6">
        <v>4.4000000000000004</v>
      </c>
      <c r="BI6">
        <f t="shared" si="0"/>
        <v>0</v>
      </c>
      <c r="BJ6">
        <f t="shared" si="1"/>
        <v>0</v>
      </c>
      <c r="BK6">
        <f t="shared" si="2"/>
        <v>0</v>
      </c>
      <c r="BL6" s="53">
        <f t="shared" si="3"/>
        <v>0.65000000000000036</v>
      </c>
      <c r="BM6">
        <f t="shared" si="4"/>
        <v>0</v>
      </c>
      <c r="BN6">
        <f t="shared" si="5"/>
        <v>0</v>
      </c>
      <c r="BO6">
        <f t="shared" si="6"/>
        <v>0</v>
      </c>
      <c r="BP6" s="53">
        <f t="shared" si="7"/>
        <v>0.15000000000000036</v>
      </c>
      <c r="BQ6">
        <f t="shared" si="8"/>
        <v>0</v>
      </c>
      <c r="BR6">
        <f t="shared" si="9"/>
        <v>0</v>
      </c>
      <c r="BS6">
        <f t="shared" si="10"/>
        <v>0</v>
      </c>
      <c r="BT6" s="53">
        <f t="shared" si="11"/>
        <v>0.80000000000000071</v>
      </c>
    </row>
    <row r="7" spans="1:72" x14ac:dyDescent="0.2">
      <c r="A7" t="s">
        <v>64</v>
      </c>
      <c r="B7">
        <v>3</v>
      </c>
      <c r="C7" s="2">
        <v>1</v>
      </c>
      <c r="D7">
        <v>1</v>
      </c>
      <c r="E7">
        <v>1</v>
      </c>
      <c r="F7">
        <v>1</v>
      </c>
      <c r="G7">
        <v>1</v>
      </c>
      <c r="H7" s="42">
        <v>69</v>
      </c>
      <c r="I7" s="42">
        <v>165</v>
      </c>
      <c r="J7">
        <v>24.363579080025207</v>
      </c>
      <c r="K7">
        <v>22</v>
      </c>
      <c r="L7" s="42">
        <v>1</v>
      </c>
      <c r="M7" t="s">
        <v>12</v>
      </c>
      <c r="N7">
        <v>14</v>
      </c>
      <c r="O7">
        <v>8</v>
      </c>
      <c r="P7">
        <v>1</v>
      </c>
      <c r="Q7">
        <v>0</v>
      </c>
      <c r="R7" s="2">
        <v>0</v>
      </c>
      <c r="S7" s="46">
        <v>100</v>
      </c>
      <c r="T7" s="46">
        <v>0</v>
      </c>
      <c r="U7" s="46">
        <v>0</v>
      </c>
      <c r="V7" s="46">
        <v>0</v>
      </c>
      <c r="W7">
        <v>0</v>
      </c>
      <c r="X7">
        <v>3.2</v>
      </c>
      <c r="Y7">
        <v>3.2</v>
      </c>
      <c r="Z7" s="31">
        <v>3</v>
      </c>
      <c r="AA7" s="31">
        <v>3.2</v>
      </c>
      <c r="AB7" s="49">
        <v>3.1500000000000004</v>
      </c>
      <c r="AC7" s="46">
        <v>100</v>
      </c>
      <c r="AD7" s="46">
        <v>0</v>
      </c>
      <c r="AE7" s="46">
        <v>0</v>
      </c>
      <c r="AF7">
        <v>0</v>
      </c>
      <c r="AG7">
        <v>3.7</v>
      </c>
      <c r="AH7">
        <v>4</v>
      </c>
      <c r="AI7" s="31">
        <v>3.8</v>
      </c>
      <c r="AJ7" s="31">
        <v>4</v>
      </c>
      <c r="AK7" s="49">
        <v>3.875</v>
      </c>
      <c r="AL7" s="46">
        <v>100</v>
      </c>
      <c r="AM7" s="46">
        <v>0</v>
      </c>
      <c r="AN7" s="46">
        <v>0</v>
      </c>
      <c r="AO7">
        <v>1</v>
      </c>
      <c r="AP7">
        <v>3.3</v>
      </c>
      <c r="AQ7">
        <v>3.1</v>
      </c>
      <c r="AR7" s="31">
        <v>3.6</v>
      </c>
      <c r="AS7" s="31">
        <v>3</v>
      </c>
      <c r="AT7" s="52">
        <v>3.25</v>
      </c>
      <c r="AU7" s="1">
        <v>0</v>
      </c>
      <c r="AV7" s="1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 s="1">
        <v>3.2</v>
      </c>
      <c r="BE7" s="31">
        <v>3</v>
      </c>
      <c r="BF7">
        <v>3.2</v>
      </c>
      <c r="BG7">
        <v>3.2</v>
      </c>
      <c r="BI7">
        <f t="shared" si="0"/>
        <v>0</v>
      </c>
      <c r="BJ7">
        <f t="shared" si="1"/>
        <v>0</v>
      </c>
      <c r="BK7">
        <f t="shared" si="2"/>
        <v>0</v>
      </c>
      <c r="BL7" s="53">
        <f t="shared" si="3"/>
        <v>0.72499999999999964</v>
      </c>
      <c r="BM7">
        <f t="shared" si="4"/>
        <v>0</v>
      </c>
      <c r="BN7">
        <f t="shared" si="5"/>
        <v>0</v>
      </c>
      <c r="BO7">
        <f t="shared" si="6"/>
        <v>0</v>
      </c>
      <c r="BP7" s="53">
        <f t="shared" si="7"/>
        <v>-0.625</v>
      </c>
      <c r="BQ7">
        <f t="shared" si="8"/>
        <v>0</v>
      </c>
      <c r="BR7">
        <f t="shared" si="9"/>
        <v>0</v>
      </c>
      <c r="BS7">
        <f t="shared" si="10"/>
        <v>0</v>
      </c>
      <c r="BT7" s="53">
        <f t="shared" si="11"/>
        <v>9.9999999999999645E-2</v>
      </c>
    </row>
    <row r="8" spans="1:72" x14ac:dyDescent="0.2">
      <c r="A8" t="s">
        <v>63</v>
      </c>
      <c r="B8">
        <v>4</v>
      </c>
      <c r="C8" s="2">
        <v>1</v>
      </c>
      <c r="D8">
        <v>1</v>
      </c>
      <c r="E8">
        <v>0</v>
      </c>
      <c r="F8">
        <v>1</v>
      </c>
      <c r="G8">
        <v>1</v>
      </c>
      <c r="H8" s="42">
        <v>76</v>
      </c>
      <c r="I8" s="42">
        <v>203</v>
      </c>
      <c r="J8">
        <v>24.70723684210526</v>
      </c>
      <c r="K8">
        <v>20</v>
      </c>
      <c r="L8" s="42">
        <v>1</v>
      </c>
      <c r="M8" t="s">
        <v>15</v>
      </c>
      <c r="N8">
        <v>10</v>
      </c>
      <c r="O8">
        <v>5</v>
      </c>
      <c r="P8">
        <v>0</v>
      </c>
      <c r="Q8">
        <v>0</v>
      </c>
      <c r="R8" s="2">
        <v>0</v>
      </c>
      <c r="S8" s="46">
        <v>71</v>
      </c>
      <c r="T8" s="46">
        <v>0</v>
      </c>
      <c r="U8" s="46">
        <v>0</v>
      </c>
      <c r="V8" s="46">
        <v>1</v>
      </c>
      <c r="W8">
        <v>0</v>
      </c>
      <c r="X8">
        <v>4.5999999999999996</v>
      </c>
      <c r="Y8">
        <v>4.5</v>
      </c>
      <c r="Z8" s="31">
        <v>5.0999999999999996</v>
      </c>
      <c r="AA8" s="31">
        <v>4.9000000000000004</v>
      </c>
      <c r="AB8" s="49">
        <v>4.7750000000000004</v>
      </c>
      <c r="AC8" s="46">
        <v>87</v>
      </c>
      <c r="AD8" s="46">
        <v>0</v>
      </c>
      <c r="AE8" s="46">
        <v>0</v>
      </c>
      <c r="AF8">
        <v>0</v>
      </c>
      <c r="AG8">
        <v>4.5</v>
      </c>
      <c r="AH8">
        <v>4.8</v>
      </c>
      <c r="AI8" s="31">
        <v>4.9000000000000004</v>
      </c>
      <c r="AJ8" s="31">
        <v>4.9000000000000004</v>
      </c>
      <c r="AK8" s="49">
        <v>4.7750000000000004</v>
      </c>
      <c r="AL8" s="46">
        <v>75</v>
      </c>
      <c r="AM8" s="46">
        <v>1</v>
      </c>
      <c r="AN8" s="46">
        <v>0</v>
      </c>
      <c r="AO8">
        <v>1</v>
      </c>
      <c r="AP8" s="7">
        <v>6</v>
      </c>
      <c r="AQ8" s="7">
        <v>7.2</v>
      </c>
      <c r="AR8" s="31">
        <v>6</v>
      </c>
      <c r="AS8" s="31">
        <v>7.3</v>
      </c>
      <c r="AT8" s="52">
        <v>6.625</v>
      </c>
      <c r="AU8" s="1">
        <v>0</v>
      </c>
      <c r="AV8" s="1">
        <v>0</v>
      </c>
      <c r="AW8">
        <v>0</v>
      </c>
      <c r="AX8">
        <v>1</v>
      </c>
      <c r="AY8">
        <v>0</v>
      </c>
      <c r="AZ8">
        <v>-16</v>
      </c>
      <c r="BA8">
        <v>-4</v>
      </c>
      <c r="BB8">
        <v>0</v>
      </c>
      <c r="BC8">
        <v>1</v>
      </c>
      <c r="BD8" s="1">
        <v>4.5999999999999996</v>
      </c>
      <c r="BE8" s="31">
        <v>5.0999999999999996</v>
      </c>
      <c r="BF8">
        <v>4.5999999999999996</v>
      </c>
      <c r="BG8">
        <v>4.5</v>
      </c>
      <c r="BI8">
        <f t="shared" si="0"/>
        <v>16</v>
      </c>
      <c r="BJ8">
        <f t="shared" si="1"/>
        <v>0</v>
      </c>
      <c r="BK8">
        <f t="shared" si="2"/>
        <v>0</v>
      </c>
      <c r="BL8" s="53">
        <f t="shared" si="3"/>
        <v>0</v>
      </c>
      <c r="BM8">
        <f t="shared" si="4"/>
        <v>-12</v>
      </c>
      <c r="BN8">
        <f t="shared" si="5"/>
        <v>1</v>
      </c>
      <c r="BO8">
        <f t="shared" si="6"/>
        <v>0</v>
      </c>
      <c r="BP8" s="53">
        <f t="shared" si="7"/>
        <v>1.8499999999999996</v>
      </c>
      <c r="BQ8">
        <f t="shared" si="8"/>
        <v>4</v>
      </c>
      <c r="BR8">
        <f t="shared" si="9"/>
        <v>1</v>
      </c>
      <c r="BS8">
        <f t="shared" si="10"/>
        <v>0</v>
      </c>
      <c r="BT8" s="53">
        <f t="shared" si="11"/>
        <v>1.8499999999999996</v>
      </c>
    </row>
    <row r="9" spans="1:72" x14ac:dyDescent="0.2">
      <c r="A9" t="s">
        <v>62</v>
      </c>
      <c r="B9">
        <v>4</v>
      </c>
      <c r="C9" s="2">
        <v>1</v>
      </c>
      <c r="D9">
        <v>1</v>
      </c>
      <c r="E9">
        <v>0</v>
      </c>
      <c r="F9">
        <v>1</v>
      </c>
      <c r="G9">
        <v>1</v>
      </c>
      <c r="H9" s="42">
        <v>76</v>
      </c>
      <c r="I9" s="42">
        <v>203</v>
      </c>
      <c r="J9">
        <v>24.70723684210526</v>
      </c>
      <c r="K9">
        <v>20</v>
      </c>
      <c r="L9" s="42">
        <v>1</v>
      </c>
      <c r="M9" t="s">
        <v>15</v>
      </c>
      <c r="N9">
        <v>10</v>
      </c>
      <c r="O9">
        <v>5</v>
      </c>
      <c r="P9">
        <v>1</v>
      </c>
      <c r="Q9">
        <v>0</v>
      </c>
      <c r="R9" s="2">
        <v>0</v>
      </c>
      <c r="S9" s="46">
        <v>68</v>
      </c>
      <c r="T9" s="46">
        <v>0</v>
      </c>
      <c r="U9" s="46">
        <v>0</v>
      </c>
      <c r="V9" s="46">
        <v>1</v>
      </c>
      <c r="W9">
        <v>0</v>
      </c>
      <c r="X9">
        <v>4.7</v>
      </c>
      <c r="Y9">
        <v>4.3</v>
      </c>
      <c r="Z9" s="31">
        <v>4.7</v>
      </c>
      <c r="AA9" s="31">
        <v>4.5</v>
      </c>
      <c r="AB9" s="49">
        <v>4.55</v>
      </c>
      <c r="AC9" s="46">
        <v>87</v>
      </c>
      <c r="AD9" s="46">
        <v>0</v>
      </c>
      <c r="AE9" s="46">
        <v>0</v>
      </c>
      <c r="AF9">
        <v>0</v>
      </c>
      <c r="AG9">
        <v>4.3</v>
      </c>
      <c r="AH9">
        <v>4.5</v>
      </c>
      <c r="AI9" s="31">
        <v>4.5</v>
      </c>
      <c r="AJ9" s="31">
        <v>4.8</v>
      </c>
      <c r="AK9" s="49">
        <v>4.5250000000000004</v>
      </c>
      <c r="AL9" s="46">
        <v>75</v>
      </c>
      <c r="AM9" s="46">
        <v>0</v>
      </c>
      <c r="AN9" s="46">
        <v>0</v>
      </c>
      <c r="AO9">
        <v>0</v>
      </c>
      <c r="AP9" s="7">
        <v>6.8</v>
      </c>
      <c r="AQ9">
        <v>5.7</v>
      </c>
      <c r="AR9" s="31">
        <v>6.5</v>
      </c>
      <c r="AS9" s="31">
        <v>5.3</v>
      </c>
      <c r="AT9" s="52">
        <v>6.0750000000000002</v>
      </c>
      <c r="AU9" s="1">
        <v>0</v>
      </c>
      <c r="AV9" s="1">
        <v>0</v>
      </c>
      <c r="AW9">
        <v>0</v>
      </c>
      <c r="AX9">
        <v>1</v>
      </c>
      <c r="AY9">
        <v>0</v>
      </c>
      <c r="AZ9">
        <v>-19</v>
      </c>
      <c r="BA9">
        <v>-7</v>
      </c>
      <c r="BB9">
        <v>0</v>
      </c>
      <c r="BC9">
        <v>0</v>
      </c>
      <c r="BD9" s="1">
        <v>4.7</v>
      </c>
      <c r="BE9" s="31">
        <v>4.7</v>
      </c>
      <c r="BF9">
        <v>4.7</v>
      </c>
      <c r="BG9">
        <v>4.3</v>
      </c>
      <c r="BI9">
        <f t="shared" si="0"/>
        <v>19</v>
      </c>
      <c r="BJ9">
        <f t="shared" si="1"/>
        <v>0</v>
      </c>
      <c r="BK9">
        <f t="shared" si="2"/>
        <v>0</v>
      </c>
      <c r="BL9" s="53">
        <f t="shared" si="3"/>
        <v>-2.4999999999999467E-2</v>
      </c>
      <c r="BM9">
        <f t="shared" si="4"/>
        <v>-12</v>
      </c>
      <c r="BN9">
        <f t="shared" si="5"/>
        <v>0</v>
      </c>
      <c r="BO9">
        <f t="shared" si="6"/>
        <v>0</v>
      </c>
      <c r="BP9" s="53">
        <f t="shared" si="7"/>
        <v>1.5499999999999998</v>
      </c>
      <c r="BQ9">
        <f t="shared" si="8"/>
        <v>7</v>
      </c>
      <c r="BR9">
        <f t="shared" si="9"/>
        <v>0</v>
      </c>
      <c r="BS9">
        <f t="shared" si="10"/>
        <v>0</v>
      </c>
      <c r="BT9" s="53">
        <f t="shared" si="11"/>
        <v>1.5250000000000004</v>
      </c>
    </row>
    <row r="10" spans="1:72" x14ac:dyDescent="0.2">
      <c r="A10" t="s">
        <v>61</v>
      </c>
      <c r="B10">
        <v>5</v>
      </c>
      <c r="C10" s="2">
        <v>1</v>
      </c>
      <c r="D10">
        <v>1</v>
      </c>
      <c r="E10">
        <v>0</v>
      </c>
      <c r="F10">
        <v>1</v>
      </c>
      <c r="G10">
        <v>1</v>
      </c>
      <c r="H10" s="42">
        <v>79</v>
      </c>
      <c r="I10" s="42">
        <v>220</v>
      </c>
      <c r="J10">
        <v>24.781285050472682</v>
      </c>
      <c r="K10">
        <v>19</v>
      </c>
      <c r="L10" s="42">
        <v>2</v>
      </c>
      <c r="M10" t="s">
        <v>15</v>
      </c>
      <c r="N10">
        <v>12</v>
      </c>
      <c r="O10">
        <v>4</v>
      </c>
      <c r="P10">
        <v>1</v>
      </c>
      <c r="Q10">
        <v>0</v>
      </c>
      <c r="R10" s="2">
        <v>0</v>
      </c>
      <c r="S10" s="46">
        <v>73</v>
      </c>
      <c r="T10" s="46">
        <v>0</v>
      </c>
      <c r="U10" s="46">
        <v>0</v>
      </c>
      <c r="V10" s="46">
        <v>1</v>
      </c>
      <c r="W10">
        <v>0</v>
      </c>
      <c r="X10">
        <v>4.7</v>
      </c>
      <c r="Y10">
        <v>4.9000000000000004</v>
      </c>
      <c r="Z10" s="31">
        <v>4.7</v>
      </c>
      <c r="AA10" s="31">
        <v>4.7</v>
      </c>
      <c r="AB10" s="49">
        <v>4.75</v>
      </c>
      <c r="AC10" s="46">
        <v>65</v>
      </c>
      <c r="AD10" s="46">
        <v>1</v>
      </c>
      <c r="AE10" s="46">
        <v>0</v>
      </c>
      <c r="AF10">
        <v>0</v>
      </c>
      <c r="AG10">
        <v>4.5999999999999996</v>
      </c>
      <c r="AH10">
        <v>4.8</v>
      </c>
      <c r="AI10" s="31">
        <v>4.0999999999999996</v>
      </c>
      <c r="AJ10" s="31">
        <v>5.0999999999999996</v>
      </c>
      <c r="AK10" s="49">
        <v>4.6499999999999995</v>
      </c>
      <c r="AL10" s="46">
        <v>66</v>
      </c>
      <c r="AM10" s="46">
        <v>1</v>
      </c>
      <c r="AN10" s="46">
        <v>0</v>
      </c>
      <c r="AO10">
        <v>0</v>
      </c>
      <c r="AP10">
        <v>5</v>
      </c>
      <c r="AQ10">
        <v>4.9000000000000004</v>
      </c>
      <c r="AR10" s="31">
        <v>4.9000000000000004</v>
      </c>
      <c r="AS10" s="31">
        <v>5.0999999999999996</v>
      </c>
      <c r="AT10" s="52">
        <v>4.9749999999999996</v>
      </c>
      <c r="AU10" s="1">
        <v>0</v>
      </c>
      <c r="AV10" s="1">
        <v>0</v>
      </c>
      <c r="AW10">
        <v>0</v>
      </c>
      <c r="AX10">
        <v>1</v>
      </c>
      <c r="AY10">
        <v>1</v>
      </c>
      <c r="AZ10">
        <v>8</v>
      </c>
      <c r="BA10">
        <v>7</v>
      </c>
      <c r="BB10">
        <v>0</v>
      </c>
      <c r="BC10">
        <v>0</v>
      </c>
      <c r="BD10" s="1">
        <v>4.7</v>
      </c>
      <c r="BE10" s="31">
        <v>4.7</v>
      </c>
      <c r="BF10">
        <v>4.7</v>
      </c>
      <c r="BG10">
        <v>4.9000000000000004</v>
      </c>
      <c r="BI10">
        <f t="shared" si="0"/>
        <v>-8</v>
      </c>
      <c r="BJ10">
        <f t="shared" si="1"/>
        <v>1</v>
      </c>
      <c r="BK10">
        <f t="shared" si="2"/>
        <v>0</v>
      </c>
      <c r="BL10" s="53">
        <f t="shared" si="3"/>
        <v>-0.10000000000000053</v>
      </c>
      <c r="BM10">
        <f t="shared" si="4"/>
        <v>1</v>
      </c>
      <c r="BN10">
        <f t="shared" si="5"/>
        <v>0</v>
      </c>
      <c r="BO10">
        <f t="shared" si="6"/>
        <v>0</v>
      </c>
      <c r="BP10" s="53">
        <f t="shared" si="7"/>
        <v>0.32500000000000018</v>
      </c>
      <c r="BQ10">
        <f t="shared" si="8"/>
        <v>-7</v>
      </c>
      <c r="BR10">
        <f t="shared" si="9"/>
        <v>1</v>
      </c>
      <c r="BS10">
        <f t="shared" si="10"/>
        <v>0</v>
      </c>
      <c r="BT10" s="53">
        <f t="shared" si="11"/>
        <v>0.22499999999999964</v>
      </c>
    </row>
    <row r="11" spans="1:72" x14ac:dyDescent="0.2">
      <c r="A11" t="s">
        <v>60</v>
      </c>
      <c r="B11">
        <v>5</v>
      </c>
      <c r="C11" s="2">
        <v>1</v>
      </c>
      <c r="D11">
        <v>1</v>
      </c>
      <c r="E11">
        <v>0</v>
      </c>
      <c r="F11">
        <v>1</v>
      </c>
      <c r="G11">
        <v>1</v>
      </c>
      <c r="H11" s="42">
        <v>79</v>
      </c>
      <c r="I11" s="42">
        <v>220</v>
      </c>
      <c r="J11">
        <v>24.781285050472682</v>
      </c>
      <c r="K11">
        <v>19</v>
      </c>
      <c r="L11" s="42">
        <v>2</v>
      </c>
      <c r="M11" t="s">
        <v>15</v>
      </c>
      <c r="N11">
        <v>12</v>
      </c>
      <c r="O11">
        <v>4</v>
      </c>
      <c r="P11">
        <v>0</v>
      </c>
      <c r="Q11">
        <v>0</v>
      </c>
      <c r="R11" s="2">
        <v>0</v>
      </c>
      <c r="S11" s="46">
        <v>70</v>
      </c>
      <c r="T11" s="46">
        <v>1</v>
      </c>
      <c r="U11" s="46">
        <v>0</v>
      </c>
      <c r="V11" s="46">
        <v>1</v>
      </c>
      <c r="W11">
        <v>0</v>
      </c>
      <c r="X11">
        <v>4.5999999999999996</v>
      </c>
      <c r="Y11">
        <v>4.9000000000000004</v>
      </c>
      <c r="Z11" s="31">
        <v>4.5</v>
      </c>
      <c r="AA11" s="31">
        <v>4.7</v>
      </c>
      <c r="AB11" s="49">
        <v>4.6749999999999998</v>
      </c>
      <c r="AC11" s="46">
        <v>69</v>
      </c>
      <c r="AD11" s="46">
        <v>1</v>
      </c>
      <c r="AE11" s="46">
        <v>0</v>
      </c>
      <c r="AF11">
        <v>0</v>
      </c>
      <c r="AG11">
        <v>6</v>
      </c>
      <c r="AH11">
        <v>5.8</v>
      </c>
      <c r="AI11" s="31">
        <v>6.4</v>
      </c>
      <c r="AJ11" s="31">
        <v>5.8</v>
      </c>
      <c r="AK11" s="49">
        <v>6.0000000000000009</v>
      </c>
      <c r="AL11" s="46">
        <v>61</v>
      </c>
      <c r="AM11" s="46">
        <v>1</v>
      </c>
      <c r="AN11" s="46">
        <v>0</v>
      </c>
      <c r="AO11">
        <v>0</v>
      </c>
      <c r="AP11">
        <v>5.4</v>
      </c>
      <c r="AQ11">
        <v>5.0999999999999996</v>
      </c>
      <c r="AR11" s="31">
        <v>5.8</v>
      </c>
      <c r="AS11" s="31">
        <v>5.3</v>
      </c>
      <c r="AT11" s="52">
        <v>5.4</v>
      </c>
      <c r="AU11" s="1">
        <v>0</v>
      </c>
      <c r="AV11" s="1">
        <v>0</v>
      </c>
      <c r="AW11">
        <v>0</v>
      </c>
      <c r="AX11">
        <v>1</v>
      </c>
      <c r="AY11">
        <v>1</v>
      </c>
      <c r="AZ11">
        <v>1</v>
      </c>
      <c r="BA11">
        <v>9</v>
      </c>
      <c r="BB11">
        <v>0</v>
      </c>
      <c r="BC11">
        <v>0</v>
      </c>
      <c r="BD11" s="1">
        <v>4.5999999999999996</v>
      </c>
      <c r="BE11" s="31">
        <v>4.5</v>
      </c>
      <c r="BF11">
        <v>4.5999999999999996</v>
      </c>
      <c r="BG11">
        <v>4.9000000000000004</v>
      </c>
      <c r="BI11">
        <f t="shared" si="0"/>
        <v>-1</v>
      </c>
      <c r="BJ11">
        <f t="shared" si="1"/>
        <v>0</v>
      </c>
      <c r="BK11">
        <f t="shared" si="2"/>
        <v>0</v>
      </c>
      <c r="BL11" s="53">
        <f t="shared" si="3"/>
        <v>1.3250000000000011</v>
      </c>
      <c r="BM11">
        <f t="shared" si="4"/>
        <v>-8</v>
      </c>
      <c r="BN11">
        <f t="shared" si="5"/>
        <v>0</v>
      </c>
      <c r="BO11">
        <f t="shared" si="6"/>
        <v>0</v>
      </c>
      <c r="BP11" s="53">
        <f t="shared" si="7"/>
        <v>-0.60000000000000053</v>
      </c>
      <c r="BQ11">
        <f t="shared" si="8"/>
        <v>-9</v>
      </c>
      <c r="BR11">
        <f t="shared" si="9"/>
        <v>0</v>
      </c>
      <c r="BS11">
        <f t="shared" si="10"/>
        <v>0</v>
      </c>
      <c r="BT11" s="53">
        <f t="shared" si="11"/>
        <v>0.72500000000000053</v>
      </c>
    </row>
    <row r="12" spans="1:72" x14ac:dyDescent="0.2">
      <c r="A12" t="s">
        <v>59</v>
      </c>
      <c r="B12">
        <v>6</v>
      </c>
      <c r="C12" s="2">
        <v>1</v>
      </c>
      <c r="D12">
        <v>1</v>
      </c>
      <c r="E12">
        <v>1</v>
      </c>
      <c r="F12">
        <v>1</v>
      </c>
      <c r="G12">
        <v>1</v>
      </c>
      <c r="H12" s="42">
        <v>80</v>
      </c>
      <c r="I12" s="42">
        <v>218</v>
      </c>
      <c r="J12">
        <v>23.945937500000003</v>
      </c>
      <c r="K12">
        <v>21</v>
      </c>
      <c r="L12" s="42">
        <v>2</v>
      </c>
      <c r="M12" t="s">
        <v>5</v>
      </c>
      <c r="N12">
        <v>6</v>
      </c>
      <c r="O12">
        <v>6</v>
      </c>
      <c r="P12">
        <v>0</v>
      </c>
      <c r="Q12">
        <v>0</v>
      </c>
      <c r="R12" s="2">
        <v>0</v>
      </c>
      <c r="S12" s="46">
        <v>100</v>
      </c>
      <c r="T12" s="46">
        <v>0</v>
      </c>
      <c r="U12" s="46">
        <v>0</v>
      </c>
      <c r="V12" s="46">
        <v>0</v>
      </c>
      <c r="W12">
        <v>0</v>
      </c>
      <c r="X12">
        <v>4.9000000000000004</v>
      </c>
      <c r="Y12">
        <v>4.5999999999999996</v>
      </c>
      <c r="Z12" s="31">
        <v>5</v>
      </c>
      <c r="AA12" s="31">
        <v>5</v>
      </c>
      <c r="AB12" s="49">
        <v>4.875</v>
      </c>
      <c r="AC12" s="46">
        <v>97</v>
      </c>
      <c r="AD12" s="46">
        <v>0</v>
      </c>
      <c r="AE12" s="46">
        <v>0</v>
      </c>
      <c r="AF12">
        <v>0</v>
      </c>
      <c r="AG12">
        <v>4.7</v>
      </c>
      <c r="AH12">
        <v>4.9000000000000004</v>
      </c>
      <c r="AI12" s="31">
        <v>4.9000000000000004</v>
      </c>
      <c r="AJ12" s="31">
        <v>5</v>
      </c>
      <c r="AK12" s="49">
        <v>4.875</v>
      </c>
      <c r="AL12" s="46">
        <v>100</v>
      </c>
      <c r="AM12" s="46">
        <v>0</v>
      </c>
      <c r="AN12" s="46">
        <v>0</v>
      </c>
      <c r="AO12">
        <v>0</v>
      </c>
      <c r="AP12">
        <v>5.7</v>
      </c>
      <c r="AQ12">
        <v>5.7</v>
      </c>
      <c r="AR12" s="31">
        <v>5.6</v>
      </c>
      <c r="AS12" s="31">
        <v>5.3</v>
      </c>
      <c r="AT12" s="52">
        <v>5.5750000000000002</v>
      </c>
      <c r="AU12" s="1">
        <v>0</v>
      </c>
      <c r="AV12" s="1">
        <v>0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 s="1">
        <v>4.9000000000000004</v>
      </c>
      <c r="BE12" s="31">
        <v>5</v>
      </c>
      <c r="BF12">
        <v>4.9000000000000004</v>
      </c>
      <c r="BG12">
        <v>4.5999999999999996</v>
      </c>
      <c r="BI12">
        <f t="shared" si="0"/>
        <v>-3</v>
      </c>
      <c r="BJ12">
        <f t="shared" si="1"/>
        <v>0</v>
      </c>
      <c r="BK12">
        <f t="shared" si="2"/>
        <v>0</v>
      </c>
      <c r="BL12" s="53">
        <f t="shared" si="3"/>
        <v>0</v>
      </c>
      <c r="BM12">
        <f t="shared" si="4"/>
        <v>3</v>
      </c>
      <c r="BN12">
        <f t="shared" si="5"/>
        <v>0</v>
      </c>
      <c r="BO12">
        <f t="shared" si="6"/>
        <v>0</v>
      </c>
      <c r="BP12" s="53">
        <f t="shared" si="7"/>
        <v>0.70000000000000018</v>
      </c>
      <c r="BQ12">
        <f t="shared" si="8"/>
        <v>0</v>
      </c>
      <c r="BR12">
        <f t="shared" si="9"/>
        <v>0</v>
      </c>
      <c r="BS12">
        <f t="shared" si="10"/>
        <v>0</v>
      </c>
      <c r="BT12" s="53">
        <f t="shared" si="11"/>
        <v>0.70000000000000018</v>
      </c>
    </row>
    <row r="13" spans="1:72" x14ac:dyDescent="0.2">
      <c r="A13" t="s">
        <v>58</v>
      </c>
      <c r="B13">
        <v>6</v>
      </c>
      <c r="C13" s="2">
        <v>1</v>
      </c>
      <c r="D13">
        <v>1</v>
      </c>
      <c r="E13">
        <v>1</v>
      </c>
      <c r="F13">
        <v>1</v>
      </c>
      <c r="G13">
        <v>1</v>
      </c>
      <c r="H13" s="42">
        <v>80</v>
      </c>
      <c r="I13" s="42">
        <v>218</v>
      </c>
      <c r="J13">
        <v>23.945937500000003</v>
      </c>
      <c r="K13">
        <v>21</v>
      </c>
      <c r="L13" s="42">
        <v>2</v>
      </c>
      <c r="M13" t="s">
        <v>5</v>
      </c>
      <c r="N13">
        <v>6</v>
      </c>
      <c r="O13">
        <v>6</v>
      </c>
      <c r="P13">
        <v>0</v>
      </c>
      <c r="Q13">
        <v>0</v>
      </c>
      <c r="R13" s="2">
        <v>0</v>
      </c>
      <c r="S13" s="46">
        <v>98</v>
      </c>
      <c r="T13" s="46">
        <v>0</v>
      </c>
      <c r="U13" s="46">
        <v>0</v>
      </c>
      <c r="V13" s="46">
        <v>0</v>
      </c>
      <c r="W13">
        <v>0</v>
      </c>
      <c r="X13">
        <v>5.5</v>
      </c>
      <c r="Y13">
        <v>4.5</v>
      </c>
      <c r="Z13" s="31">
        <v>5.5</v>
      </c>
      <c r="AA13" s="31">
        <v>4.3</v>
      </c>
      <c r="AB13" s="49">
        <v>4.95</v>
      </c>
      <c r="AC13" s="46">
        <v>97</v>
      </c>
      <c r="AD13" s="46">
        <v>0</v>
      </c>
      <c r="AE13" s="46">
        <v>0</v>
      </c>
      <c r="AF13">
        <v>0</v>
      </c>
      <c r="AG13">
        <v>5.2</v>
      </c>
      <c r="AH13">
        <v>5.4</v>
      </c>
      <c r="AI13" s="31">
        <v>5.4</v>
      </c>
      <c r="AJ13" s="31">
        <v>5.7</v>
      </c>
      <c r="AK13" s="49">
        <v>5.4249999999999998</v>
      </c>
      <c r="AL13" s="46">
        <v>100</v>
      </c>
      <c r="AM13" s="46">
        <v>0</v>
      </c>
      <c r="AN13" s="46">
        <v>0</v>
      </c>
      <c r="AO13">
        <v>0</v>
      </c>
      <c r="AP13">
        <v>5.2</v>
      </c>
      <c r="AQ13">
        <v>5</v>
      </c>
      <c r="AR13" s="31">
        <v>5.0999999999999996</v>
      </c>
      <c r="AS13" s="31">
        <v>5.0999999999999996</v>
      </c>
      <c r="AT13" s="52">
        <v>5.0999999999999996</v>
      </c>
      <c r="AU13" s="1">
        <v>0</v>
      </c>
      <c r="AV13" s="1">
        <v>0</v>
      </c>
      <c r="AW13">
        <v>0</v>
      </c>
      <c r="AX13">
        <v>0</v>
      </c>
      <c r="AY13">
        <v>0</v>
      </c>
      <c r="AZ13">
        <v>1</v>
      </c>
      <c r="BA13">
        <v>-2</v>
      </c>
      <c r="BB13">
        <v>0</v>
      </c>
      <c r="BC13">
        <v>0</v>
      </c>
      <c r="BD13" s="1">
        <v>5.5</v>
      </c>
      <c r="BE13" s="31">
        <v>5.5</v>
      </c>
      <c r="BF13">
        <v>5.5</v>
      </c>
      <c r="BG13">
        <v>4.5</v>
      </c>
      <c r="BI13">
        <f t="shared" si="0"/>
        <v>-1</v>
      </c>
      <c r="BJ13">
        <f t="shared" si="1"/>
        <v>0</v>
      </c>
      <c r="BK13">
        <f t="shared" si="2"/>
        <v>0</v>
      </c>
      <c r="BL13" s="53">
        <f t="shared" si="3"/>
        <v>0.47499999999999964</v>
      </c>
      <c r="BM13">
        <f t="shared" si="4"/>
        <v>3</v>
      </c>
      <c r="BN13">
        <f t="shared" si="5"/>
        <v>0</v>
      </c>
      <c r="BO13">
        <f t="shared" si="6"/>
        <v>0</v>
      </c>
      <c r="BP13" s="53">
        <f t="shared" si="7"/>
        <v>-0.32500000000000018</v>
      </c>
      <c r="BQ13">
        <f t="shared" si="8"/>
        <v>2</v>
      </c>
      <c r="BR13">
        <f t="shared" si="9"/>
        <v>0</v>
      </c>
      <c r="BS13">
        <f t="shared" si="10"/>
        <v>0</v>
      </c>
      <c r="BT13" s="53">
        <f t="shared" si="11"/>
        <v>0.14999999999999947</v>
      </c>
    </row>
    <row r="14" spans="1:72" x14ac:dyDescent="0.2">
      <c r="A14" t="s">
        <v>57</v>
      </c>
      <c r="B14">
        <v>7</v>
      </c>
      <c r="C14" s="2">
        <v>1</v>
      </c>
      <c r="D14">
        <v>1</v>
      </c>
      <c r="E14">
        <v>1</v>
      </c>
      <c r="F14">
        <v>1</v>
      </c>
      <c r="G14">
        <v>1</v>
      </c>
      <c r="H14" s="42">
        <v>77</v>
      </c>
      <c r="I14" s="42">
        <v>180</v>
      </c>
      <c r="J14">
        <v>21.342553550345759</v>
      </c>
      <c r="K14">
        <v>20</v>
      </c>
      <c r="L14" s="42">
        <v>1</v>
      </c>
      <c r="M14" t="s">
        <v>5</v>
      </c>
      <c r="N14">
        <v>16</v>
      </c>
      <c r="O14">
        <v>6</v>
      </c>
      <c r="P14">
        <v>0</v>
      </c>
      <c r="Q14">
        <v>0</v>
      </c>
      <c r="R14" s="2">
        <v>0</v>
      </c>
      <c r="S14" s="46">
        <v>90</v>
      </c>
      <c r="T14" s="46">
        <v>0</v>
      </c>
      <c r="U14" s="46">
        <v>0</v>
      </c>
      <c r="V14" s="46">
        <v>0</v>
      </c>
      <c r="W14">
        <v>0</v>
      </c>
      <c r="X14">
        <v>6.3</v>
      </c>
      <c r="Y14">
        <v>6.4</v>
      </c>
      <c r="Z14" s="31">
        <v>6.6</v>
      </c>
      <c r="AA14" s="31">
        <v>6.4</v>
      </c>
      <c r="AB14" s="49">
        <v>6.4249999999999989</v>
      </c>
      <c r="AC14" s="46">
        <v>100</v>
      </c>
      <c r="AD14" s="46">
        <v>0</v>
      </c>
      <c r="AE14" s="46">
        <v>0</v>
      </c>
      <c r="AF14">
        <v>1</v>
      </c>
      <c r="AG14" s="4">
        <v>6.9</v>
      </c>
      <c r="AH14" s="4">
        <v>6.6</v>
      </c>
      <c r="AI14" s="31">
        <v>6.7</v>
      </c>
      <c r="AJ14" s="31">
        <v>7</v>
      </c>
      <c r="AK14" s="49">
        <v>6.8</v>
      </c>
      <c r="AL14" s="46">
        <v>94</v>
      </c>
      <c r="AM14" s="46">
        <v>0</v>
      </c>
      <c r="AN14" s="46">
        <v>0</v>
      </c>
      <c r="AO14">
        <v>1</v>
      </c>
      <c r="AP14" s="4">
        <v>5.8</v>
      </c>
      <c r="AQ14" s="4">
        <v>6.1</v>
      </c>
      <c r="AR14" s="31">
        <v>6.2</v>
      </c>
      <c r="AS14" s="31">
        <v>6.5</v>
      </c>
      <c r="AT14" s="52">
        <v>6.1499999999999995</v>
      </c>
      <c r="AU14" s="1">
        <v>0</v>
      </c>
      <c r="AV14" s="1">
        <v>0</v>
      </c>
      <c r="AW14">
        <v>0</v>
      </c>
      <c r="AX14">
        <v>0</v>
      </c>
      <c r="AY14">
        <v>0</v>
      </c>
      <c r="AZ14">
        <v>-10</v>
      </c>
      <c r="BA14">
        <v>-4</v>
      </c>
      <c r="BB14">
        <v>0</v>
      </c>
      <c r="BC14">
        <v>1</v>
      </c>
      <c r="BD14" s="1">
        <v>6.3</v>
      </c>
      <c r="BE14" s="31">
        <v>6.6</v>
      </c>
      <c r="BF14">
        <v>6.3</v>
      </c>
      <c r="BG14">
        <v>6.4</v>
      </c>
      <c r="BI14">
        <f t="shared" si="0"/>
        <v>10</v>
      </c>
      <c r="BJ14">
        <f t="shared" si="1"/>
        <v>0</v>
      </c>
      <c r="BK14">
        <f t="shared" si="2"/>
        <v>0</v>
      </c>
      <c r="BL14" s="53">
        <f t="shared" si="3"/>
        <v>0.37500000000000089</v>
      </c>
      <c r="BM14">
        <f t="shared" si="4"/>
        <v>-6</v>
      </c>
      <c r="BN14">
        <f t="shared" si="5"/>
        <v>0</v>
      </c>
      <c r="BO14">
        <f t="shared" si="6"/>
        <v>0</v>
      </c>
      <c r="BP14" s="53">
        <f t="shared" si="7"/>
        <v>-0.65000000000000036</v>
      </c>
      <c r="BQ14">
        <f t="shared" si="8"/>
        <v>4</v>
      </c>
      <c r="BR14">
        <f t="shared" si="9"/>
        <v>0</v>
      </c>
      <c r="BS14">
        <f t="shared" si="10"/>
        <v>0</v>
      </c>
      <c r="BT14" s="53">
        <f t="shared" si="11"/>
        <v>-0.27499999999999947</v>
      </c>
    </row>
    <row r="15" spans="1:72" x14ac:dyDescent="0.2">
      <c r="A15" t="s">
        <v>56</v>
      </c>
      <c r="B15">
        <v>7</v>
      </c>
      <c r="C15" s="2">
        <v>1</v>
      </c>
      <c r="D15">
        <v>1</v>
      </c>
      <c r="E15">
        <v>1</v>
      </c>
      <c r="F15">
        <v>1</v>
      </c>
      <c r="G15">
        <v>1</v>
      </c>
      <c r="H15" s="42">
        <v>77</v>
      </c>
      <c r="I15" s="42">
        <v>180</v>
      </c>
      <c r="J15">
        <v>21.342553550345759</v>
      </c>
      <c r="K15">
        <v>20</v>
      </c>
      <c r="L15" s="42">
        <v>1</v>
      </c>
      <c r="M15" t="s">
        <v>5</v>
      </c>
      <c r="N15">
        <v>16</v>
      </c>
      <c r="O15">
        <v>6</v>
      </c>
      <c r="P15">
        <v>0</v>
      </c>
      <c r="Q15">
        <v>0</v>
      </c>
      <c r="R15" s="2">
        <v>0</v>
      </c>
      <c r="S15" s="46">
        <v>91</v>
      </c>
      <c r="T15" s="46">
        <v>0</v>
      </c>
      <c r="U15" s="46">
        <v>0</v>
      </c>
      <c r="V15" s="46">
        <v>0</v>
      </c>
      <c r="W15">
        <v>0</v>
      </c>
      <c r="X15">
        <v>3.7</v>
      </c>
      <c r="Y15">
        <v>3.5</v>
      </c>
      <c r="Z15" s="31">
        <v>4.0999999999999996</v>
      </c>
      <c r="AA15" s="31">
        <v>3.4</v>
      </c>
      <c r="AB15" s="49">
        <v>3.6750000000000003</v>
      </c>
      <c r="AC15" s="46">
        <v>72</v>
      </c>
      <c r="AD15" s="46">
        <v>0</v>
      </c>
      <c r="AE15" s="46">
        <v>1</v>
      </c>
      <c r="AF15">
        <v>0</v>
      </c>
      <c r="AG15">
        <v>3.8</v>
      </c>
      <c r="AH15">
        <v>3.7</v>
      </c>
      <c r="AI15" s="31">
        <v>3.7</v>
      </c>
      <c r="AJ15" s="31">
        <v>3.7</v>
      </c>
      <c r="AK15" s="49">
        <v>3.7249999999999996</v>
      </c>
      <c r="AL15" s="46">
        <v>100</v>
      </c>
      <c r="AM15" s="46">
        <v>0</v>
      </c>
      <c r="AN15" s="46">
        <v>0</v>
      </c>
      <c r="AO15">
        <v>0</v>
      </c>
      <c r="AP15">
        <v>5</v>
      </c>
      <c r="AQ15">
        <v>4.4000000000000004</v>
      </c>
      <c r="AR15" s="31">
        <v>4.8</v>
      </c>
      <c r="AS15" s="31">
        <v>4.5</v>
      </c>
      <c r="AT15" s="52">
        <v>4.6749999999999998</v>
      </c>
      <c r="AU15" s="1">
        <v>0</v>
      </c>
      <c r="AV15" s="1">
        <v>0</v>
      </c>
      <c r="AW15">
        <v>0</v>
      </c>
      <c r="AX15">
        <v>1</v>
      </c>
      <c r="AY15">
        <v>0</v>
      </c>
      <c r="AZ15">
        <v>19</v>
      </c>
      <c r="BA15">
        <v>-9</v>
      </c>
      <c r="BB15">
        <v>1</v>
      </c>
      <c r="BC15">
        <v>0</v>
      </c>
      <c r="BD15" s="1">
        <v>3.7</v>
      </c>
      <c r="BE15" s="31">
        <v>4.0999999999999996</v>
      </c>
      <c r="BF15">
        <v>3.7</v>
      </c>
      <c r="BG15">
        <v>3.5</v>
      </c>
      <c r="BI15">
        <f t="shared" si="0"/>
        <v>-19</v>
      </c>
      <c r="BJ15">
        <f t="shared" si="1"/>
        <v>0</v>
      </c>
      <c r="BK15">
        <f t="shared" si="2"/>
        <v>1</v>
      </c>
      <c r="BL15" s="53">
        <f t="shared" si="3"/>
        <v>4.9999999999999378E-2</v>
      </c>
      <c r="BM15">
        <f t="shared" si="4"/>
        <v>28</v>
      </c>
      <c r="BN15">
        <f t="shared" si="5"/>
        <v>0</v>
      </c>
      <c r="BO15">
        <f t="shared" si="6"/>
        <v>-1</v>
      </c>
      <c r="BP15" s="53">
        <f t="shared" si="7"/>
        <v>0.95000000000000018</v>
      </c>
      <c r="BQ15">
        <f t="shared" si="8"/>
        <v>9</v>
      </c>
      <c r="BR15">
        <f t="shared" si="9"/>
        <v>0</v>
      </c>
      <c r="BS15">
        <f t="shared" si="10"/>
        <v>0</v>
      </c>
      <c r="BT15" s="53">
        <f t="shared" si="11"/>
        <v>0.99999999999999956</v>
      </c>
    </row>
    <row r="16" spans="1:72" x14ac:dyDescent="0.2">
      <c r="A16" t="s">
        <v>55</v>
      </c>
      <c r="B16">
        <v>8</v>
      </c>
      <c r="C16" s="2">
        <v>1</v>
      </c>
      <c r="D16">
        <v>1</v>
      </c>
      <c r="E16">
        <v>1</v>
      </c>
      <c r="F16">
        <v>1</v>
      </c>
      <c r="G16">
        <v>1</v>
      </c>
      <c r="H16" s="42">
        <v>78</v>
      </c>
      <c r="I16" s="42">
        <v>200</v>
      </c>
      <c r="J16">
        <v>23.109796186719262</v>
      </c>
      <c r="K16">
        <v>20</v>
      </c>
      <c r="L16" s="42">
        <v>2</v>
      </c>
      <c r="M16" t="s">
        <v>15</v>
      </c>
      <c r="N16">
        <v>8</v>
      </c>
      <c r="O16">
        <v>4</v>
      </c>
      <c r="P16">
        <v>0</v>
      </c>
      <c r="Q16">
        <v>1</v>
      </c>
      <c r="R16" s="2">
        <v>0</v>
      </c>
      <c r="S16" s="46">
        <v>83</v>
      </c>
      <c r="T16" s="46">
        <v>0</v>
      </c>
      <c r="U16" s="46">
        <v>0</v>
      </c>
      <c r="V16" s="46">
        <v>0</v>
      </c>
      <c r="W16">
        <v>0</v>
      </c>
      <c r="X16">
        <v>3.7</v>
      </c>
      <c r="Y16">
        <v>3.6</v>
      </c>
      <c r="Z16" s="31">
        <v>3.7</v>
      </c>
      <c r="AA16" s="31">
        <v>3.7</v>
      </c>
      <c r="AB16" s="49">
        <v>3.6749999999999998</v>
      </c>
      <c r="AC16" s="46">
        <v>86</v>
      </c>
      <c r="AD16" s="46">
        <v>0</v>
      </c>
      <c r="AE16" s="46">
        <v>0</v>
      </c>
      <c r="AF16">
        <v>0</v>
      </c>
      <c r="AG16">
        <v>4.0999999999999996</v>
      </c>
      <c r="AH16">
        <v>4</v>
      </c>
      <c r="AI16" s="31">
        <v>4.2</v>
      </c>
      <c r="AJ16" s="31">
        <v>4.3</v>
      </c>
      <c r="AK16" s="49">
        <v>4.1500000000000004</v>
      </c>
      <c r="AL16" s="46">
        <v>100</v>
      </c>
      <c r="AM16" s="46">
        <v>0</v>
      </c>
      <c r="AN16" s="46">
        <v>0</v>
      </c>
      <c r="AO16">
        <v>0</v>
      </c>
      <c r="AP16">
        <v>4.2</v>
      </c>
      <c r="AQ16">
        <v>4.0999999999999996</v>
      </c>
      <c r="AR16" s="31">
        <v>4.2</v>
      </c>
      <c r="AS16" s="31">
        <v>4.4000000000000004</v>
      </c>
      <c r="AT16" s="52">
        <v>4.2249999999999996</v>
      </c>
      <c r="AU16" s="1">
        <v>0</v>
      </c>
      <c r="AV16" s="1">
        <v>0</v>
      </c>
      <c r="AW16">
        <v>0</v>
      </c>
      <c r="AX16">
        <v>0</v>
      </c>
      <c r="AY16">
        <v>0</v>
      </c>
      <c r="AZ16">
        <v>-3</v>
      </c>
      <c r="BA16">
        <v>-17</v>
      </c>
      <c r="BB16">
        <v>0</v>
      </c>
      <c r="BC16">
        <v>0</v>
      </c>
      <c r="BD16" s="1">
        <v>3.7</v>
      </c>
      <c r="BE16" s="31">
        <v>3.7</v>
      </c>
      <c r="BF16">
        <v>3.7</v>
      </c>
      <c r="BG16">
        <v>3.6</v>
      </c>
      <c r="BI16">
        <f t="shared" si="0"/>
        <v>3</v>
      </c>
      <c r="BJ16">
        <f t="shared" si="1"/>
        <v>0</v>
      </c>
      <c r="BK16">
        <f t="shared" si="2"/>
        <v>0</v>
      </c>
      <c r="BL16" s="53">
        <f t="shared" si="3"/>
        <v>0.47500000000000053</v>
      </c>
      <c r="BM16">
        <f t="shared" si="4"/>
        <v>14</v>
      </c>
      <c r="BN16">
        <f t="shared" si="5"/>
        <v>0</v>
      </c>
      <c r="BO16">
        <f t="shared" si="6"/>
        <v>0</v>
      </c>
      <c r="BP16" s="53">
        <f t="shared" si="7"/>
        <v>7.4999999999999289E-2</v>
      </c>
      <c r="BQ16">
        <f t="shared" si="8"/>
        <v>17</v>
      </c>
      <c r="BR16">
        <f t="shared" si="9"/>
        <v>0</v>
      </c>
      <c r="BS16">
        <f t="shared" si="10"/>
        <v>0</v>
      </c>
      <c r="BT16" s="53">
        <f t="shared" si="11"/>
        <v>0.54999999999999982</v>
      </c>
    </row>
    <row r="17" spans="1:72" x14ac:dyDescent="0.2">
      <c r="A17" t="s">
        <v>54</v>
      </c>
      <c r="B17">
        <v>8</v>
      </c>
      <c r="C17" s="2">
        <v>1</v>
      </c>
      <c r="D17">
        <v>1</v>
      </c>
      <c r="E17">
        <v>0</v>
      </c>
      <c r="F17">
        <v>0</v>
      </c>
      <c r="G17">
        <v>1</v>
      </c>
      <c r="H17" s="42">
        <v>78</v>
      </c>
      <c r="I17" s="42">
        <v>200</v>
      </c>
      <c r="J17">
        <v>23.109796186719262</v>
      </c>
      <c r="K17">
        <v>20</v>
      </c>
      <c r="L17" s="42">
        <v>2</v>
      </c>
      <c r="M17" t="s">
        <v>15</v>
      </c>
      <c r="N17">
        <v>8</v>
      </c>
      <c r="O17">
        <v>4</v>
      </c>
      <c r="P17">
        <v>0</v>
      </c>
      <c r="Q17">
        <v>0</v>
      </c>
      <c r="R17" s="2">
        <v>0</v>
      </c>
      <c r="S17" s="46">
        <v>76</v>
      </c>
      <c r="T17" s="46">
        <v>0</v>
      </c>
      <c r="U17" s="46">
        <v>0</v>
      </c>
      <c r="V17" s="46">
        <v>1</v>
      </c>
      <c r="W17">
        <v>1</v>
      </c>
      <c r="X17" s="7">
        <v>5.0999999999999996</v>
      </c>
      <c r="Y17" s="7">
        <v>4.8</v>
      </c>
      <c r="Z17" s="31">
        <v>5.2</v>
      </c>
      <c r="AA17" s="31">
        <v>4.8</v>
      </c>
      <c r="AB17" s="49">
        <v>4.9749999999999996</v>
      </c>
      <c r="AC17" s="46">
        <v>75</v>
      </c>
      <c r="AD17" s="46">
        <v>0</v>
      </c>
      <c r="AE17" s="46">
        <v>0</v>
      </c>
      <c r="AF17">
        <v>0</v>
      </c>
      <c r="AG17">
        <v>4.3</v>
      </c>
      <c r="AH17">
        <v>4.8</v>
      </c>
      <c r="AI17" s="31">
        <v>4.4000000000000004</v>
      </c>
      <c r="AJ17" s="31">
        <v>4.7</v>
      </c>
      <c r="AK17" s="49">
        <v>4.55</v>
      </c>
      <c r="AL17" s="46">
        <v>80</v>
      </c>
      <c r="AM17" s="46">
        <v>0</v>
      </c>
      <c r="AN17" s="46">
        <v>0</v>
      </c>
      <c r="AO17">
        <v>1</v>
      </c>
      <c r="AP17" s="4">
        <v>9.1</v>
      </c>
      <c r="AQ17" s="4">
        <v>8.5</v>
      </c>
      <c r="AR17" s="31">
        <v>9</v>
      </c>
      <c r="AS17" s="31">
        <v>9.1</v>
      </c>
      <c r="AT17" s="52">
        <v>8.9250000000000007</v>
      </c>
      <c r="AU17" s="1">
        <v>0</v>
      </c>
      <c r="AV17" s="1">
        <v>0</v>
      </c>
      <c r="AW17">
        <v>0</v>
      </c>
      <c r="AX17">
        <v>1</v>
      </c>
      <c r="AY17">
        <v>0</v>
      </c>
      <c r="AZ17">
        <v>1</v>
      </c>
      <c r="BA17">
        <v>-4</v>
      </c>
      <c r="BB17">
        <v>0</v>
      </c>
      <c r="BC17">
        <v>1</v>
      </c>
      <c r="BD17" s="35">
        <v>5.0999999999999996</v>
      </c>
      <c r="BE17" s="31">
        <v>5.2</v>
      </c>
      <c r="BF17" s="7">
        <v>5.0999999999999996</v>
      </c>
      <c r="BG17" s="7">
        <v>4.8</v>
      </c>
      <c r="BI17">
        <f t="shared" si="0"/>
        <v>-1</v>
      </c>
      <c r="BJ17">
        <f t="shared" si="1"/>
        <v>0</v>
      </c>
      <c r="BK17">
        <f t="shared" si="2"/>
        <v>0</v>
      </c>
      <c r="BL17" s="53">
        <f t="shared" si="3"/>
        <v>-0.42499999999999982</v>
      </c>
      <c r="BM17">
        <f t="shared" si="4"/>
        <v>5</v>
      </c>
      <c r="BN17">
        <f t="shared" si="5"/>
        <v>0</v>
      </c>
      <c r="BO17">
        <f t="shared" si="6"/>
        <v>0</v>
      </c>
      <c r="BP17" s="53">
        <f t="shared" si="7"/>
        <v>4.3750000000000009</v>
      </c>
      <c r="BQ17">
        <f t="shared" si="8"/>
        <v>4</v>
      </c>
      <c r="BR17">
        <f t="shared" si="9"/>
        <v>0</v>
      </c>
      <c r="BS17">
        <f t="shared" si="10"/>
        <v>0</v>
      </c>
      <c r="BT17" s="53">
        <f t="shared" si="11"/>
        <v>3.9500000000000011</v>
      </c>
    </row>
    <row r="18" spans="1:72" x14ac:dyDescent="0.2">
      <c r="A18" t="s">
        <v>53</v>
      </c>
      <c r="B18">
        <v>9</v>
      </c>
      <c r="C18" s="2">
        <v>1</v>
      </c>
      <c r="D18">
        <v>1</v>
      </c>
      <c r="E18">
        <v>1</v>
      </c>
      <c r="F18">
        <v>1</v>
      </c>
      <c r="G18">
        <v>1</v>
      </c>
      <c r="H18" s="42">
        <v>78</v>
      </c>
      <c r="I18" s="42">
        <v>200</v>
      </c>
      <c r="J18">
        <v>23.109796186719262</v>
      </c>
      <c r="K18">
        <v>21</v>
      </c>
      <c r="L18" s="42">
        <v>1</v>
      </c>
      <c r="M18" t="s">
        <v>15</v>
      </c>
      <c r="N18">
        <v>16</v>
      </c>
      <c r="O18">
        <v>3</v>
      </c>
      <c r="P18">
        <v>0</v>
      </c>
      <c r="Q18">
        <v>0</v>
      </c>
      <c r="R18" s="2">
        <v>1</v>
      </c>
      <c r="S18" s="46">
        <v>80</v>
      </c>
      <c r="T18" s="46">
        <v>0</v>
      </c>
      <c r="U18" s="46">
        <v>1</v>
      </c>
      <c r="V18" s="46">
        <v>0</v>
      </c>
      <c r="W18">
        <v>0</v>
      </c>
      <c r="X18">
        <v>3.4</v>
      </c>
      <c r="Y18">
        <v>3.4</v>
      </c>
      <c r="Z18" s="31">
        <v>3.5</v>
      </c>
      <c r="AA18" s="31">
        <v>3.5</v>
      </c>
      <c r="AB18" s="49">
        <v>3.45</v>
      </c>
      <c r="AC18" s="46">
        <v>97</v>
      </c>
      <c r="AD18" s="46">
        <v>0</v>
      </c>
      <c r="AE18" s="46">
        <v>0</v>
      </c>
      <c r="AF18">
        <v>0</v>
      </c>
      <c r="AG18">
        <v>3.6</v>
      </c>
      <c r="AH18">
        <v>3.6</v>
      </c>
      <c r="AI18" s="31">
        <v>3.4</v>
      </c>
      <c r="AJ18" s="31">
        <v>3.6</v>
      </c>
      <c r="AK18" s="49">
        <v>3.55</v>
      </c>
      <c r="AL18" s="46">
        <v>100</v>
      </c>
      <c r="AM18" s="46">
        <v>0</v>
      </c>
      <c r="AN18" s="46">
        <v>0</v>
      </c>
      <c r="AO18">
        <v>0</v>
      </c>
      <c r="AP18">
        <v>4.7</v>
      </c>
      <c r="AQ18">
        <v>4.3</v>
      </c>
      <c r="AR18" s="31">
        <v>4.7</v>
      </c>
      <c r="AS18" s="31">
        <v>4.8</v>
      </c>
      <c r="AT18" s="52">
        <v>4.625</v>
      </c>
      <c r="AU18" s="1">
        <v>0</v>
      </c>
      <c r="AV18" s="1">
        <v>0</v>
      </c>
      <c r="AW18">
        <v>0</v>
      </c>
      <c r="AX18">
        <v>0</v>
      </c>
      <c r="AY18">
        <v>0</v>
      </c>
      <c r="AZ18">
        <v>-17</v>
      </c>
      <c r="BA18">
        <v>-20</v>
      </c>
      <c r="BB18">
        <v>0</v>
      </c>
      <c r="BC18">
        <v>0</v>
      </c>
      <c r="BD18" s="1">
        <v>3.4</v>
      </c>
      <c r="BE18" s="31">
        <v>3.5</v>
      </c>
      <c r="BF18">
        <v>3.4</v>
      </c>
      <c r="BG18">
        <v>3.4</v>
      </c>
      <c r="BI18">
        <f t="shared" si="0"/>
        <v>17</v>
      </c>
      <c r="BJ18">
        <f t="shared" si="1"/>
        <v>0</v>
      </c>
      <c r="BK18">
        <f t="shared" si="2"/>
        <v>-1</v>
      </c>
      <c r="BL18" s="53">
        <f t="shared" si="3"/>
        <v>9.9999999999999645E-2</v>
      </c>
      <c r="BM18">
        <f t="shared" si="4"/>
        <v>3</v>
      </c>
      <c r="BN18">
        <f t="shared" si="5"/>
        <v>0</v>
      </c>
      <c r="BO18">
        <f t="shared" si="6"/>
        <v>0</v>
      </c>
      <c r="BP18" s="53">
        <f t="shared" si="7"/>
        <v>1.0750000000000002</v>
      </c>
      <c r="BQ18">
        <f t="shared" si="8"/>
        <v>20</v>
      </c>
      <c r="BR18">
        <f t="shared" si="9"/>
        <v>0</v>
      </c>
      <c r="BS18">
        <f t="shared" si="10"/>
        <v>-1</v>
      </c>
      <c r="BT18" s="53">
        <f t="shared" si="11"/>
        <v>1.1749999999999998</v>
      </c>
    </row>
    <row r="19" spans="1:72" x14ac:dyDescent="0.2">
      <c r="A19" t="s">
        <v>52</v>
      </c>
      <c r="B19">
        <v>9</v>
      </c>
      <c r="C19" s="2">
        <v>1</v>
      </c>
      <c r="D19">
        <v>1</v>
      </c>
      <c r="E19">
        <v>1</v>
      </c>
      <c r="F19">
        <v>0</v>
      </c>
      <c r="G19">
        <v>1</v>
      </c>
      <c r="H19" s="42">
        <v>78</v>
      </c>
      <c r="I19" s="42">
        <v>200</v>
      </c>
      <c r="J19">
        <v>23.109796186719262</v>
      </c>
      <c r="K19">
        <v>21</v>
      </c>
      <c r="L19" s="42">
        <v>1</v>
      </c>
      <c r="M19" t="s">
        <v>15</v>
      </c>
      <c r="N19">
        <v>16</v>
      </c>
      <c r="O19">
        <v>3</v>
      </c>
      <c r="P19">
        <v>0</v>
      </c>
      <c r="Q19">
        <v>0</v>
      </c>
      <c r="R19" s="2">
        <v>1</v>
      </c>
      <c r="S19" s="46">
        <v>99</v>
      </c>
      <c r="T19" s="46">
        <v>0</v>
      </c>
      <c r="U19" s="46">
        <v>0</v>
      </c>
      <c r="V19" s="46">
        <v>0</v>
      </c>
      <c r="W19">
        <v>1</v>
      </c>
      <c r="X19">
        <v>5</v>
      </c>
      <c r="Y19">
        <v>4.5</v>
      </c>
      <c r="Z19" s="31">
        <v>5.5</v>
      </c>
      <c r="AA19" s="31">
        <v>5.4</v>
      </c>
      <c r="AB19" s="49">
        <v>5.0999999999999996</v>
      </c>
      <c r="AC19" s="46">
        <v>97</v>
      </c>
      <c r="AD19" s="46">
        <v>0</v>
      </c>
      <c r="AE19" s="46">
        <v>0</v>
      </c>
      <c r="AF19">
        <v>0</v>
      </c>
      <c r="AG19">
        <v>4.2</v>
      </c>
      <c r="AH19">
        <v>3.8</v>
      </c>
      <c r="AI19" s="31">
        <v>4.2</v>
      </c>
      <c r="AJ19" s="31">
        <v>4</v>
      </c>
      <c r="AK19" s="49">
        <v>4.05</v>
      </c>
      <c r="AL19" s="46">
        <v>100</v>
      </c>
      <c r="AM19" s="46">
        <v>0</v>
      </c>
      <c r="AN19" s="46">
        <v>0</v>
      </c>
      <c r="AO19">
        <v>0</v>
      </c>
      <c r="AP19">
        <v>3.5</v>
      </c>
      <c r="AQ19">
        <v>3.7</v>
      </c>
      <c r="AR19" s="31">
        <v>3.7</v>
      </c>
      <c r="AS19" s="31">
        <v>3.7</v>
      </c>
      <c r="AT19" s="52">
        <v>3.6500000000000004</v>
      </c>
      <c r="AU19" s="1">
        <v>0</v>
      </c>
      <c r="AV19" s="1">
        <v>0</v>
      </c>
      <c r="AW19">
        <v>0</v>
      </c>
      <c r="AX19">
        <v>0</v>
      </c>
      <c r="AY19">
        <v>0</v>
      </c>
      <c r="AZ19">
        <v>2</v>
      </c>
      <c r="BA19">
        <v>-1</v>
      </c>
      <c r="BB19">
        <v>0</v>
      </c>
      <c r="BC19">
        <v>0</v>
      </c>
      <c r="BD19" s="1">
        <v>5</v>
      </c>
      <c r="BE19" s="31">
        <v>5.5</v>
      </c>
      <c r="BF19">
        <v>5</v>
      </c>
      <c r="BG19">
        <v>4.5</v>
      </c>
      <c r="BI19">
        <f t="shared" si="0"/>
        <v>-2</v>
      </c>
      <c r="BJ19">
        <f t="shared" si="1"/>
        <v>0</v>
      </c>
      <c r="BK19">
        <f t="shared" si="2"/>
        <v>0</v>
      </c>
      <c r="BL19" s="53">
        <f t="shared" si="3"/>
        <v>-1.0499999999999998</v>
      </c>
      <c r="BM19">
        <f t="shared" si="4"/>
        <v>3</v>
      </c>
      <c r="BN19">
        <f t="shared" si="5"/>
        <v>0</v>
      </c>
      <c r="BO19">
        <f t="shared" si="6"/>
        <v>0</v>
      </c>
      <c r="BP19" s="53">
        <f t="shared" si="7"/>
        <v>-0.39999999999999947</v>
      </c>
      <c r="BQ19">
        <f t="shared" si="8"/>
        <v>1</v>
      </c>
      <c r="BR19">
        <f t="shared" si="9"/>
        <v>0</v>
      </c>
      <c r="BS19">
        <f t="shared" si="10"/>
        <v>0</v>
      </c>
      <c r="BT19" s="53">
        <f t="shared" si="11"/>
        <v>-1.4499999999999993</v>
      </c>
    </row>
    <row r="20" spans="1:72" x14ac:dyDescent="0.2">
      <c r="A20" s="5" t="s">
        <v>51</v>
      </c>
      <c r="B20" s="5">
        <v>10</v>
      </c>
      <c r="C20" s="2">
        <v>1</v>
      </c>
      <c r="D20">
        <v>0</v>
      </c>
      <c r="E20">
        <v>0</v>
      </c>
      <c r="F20">
        <v>0</v>
      </c>
      <c r="G20">
        <v>1</v>
      </c>
      <c r="H20" s="42">
        <v>73</v>
      </c>
      <c r="I20" s="42">
        <v>179</v>
      </c>
      <c r="J20">
        <v>23.613623569149933</v>
      </c>
      <c r="K20">
        <v>21</v>
      </c>
      <c r="L20" s="42">
        <v>1</v>
      </c>
      <c r="M20" t="s">
        <v>5</v>
      </c>
      <c r="N20">
        <v>14</v>
      </c>
      <c r="O20">
        <v>7</v>
      </c>
      <c r="P20">
        <v>1</v>
      </c>
      <c r="Q20" s="5">
        <v>1</v>
      </c>
      <c r="R20" s="2">
        <v>0</v>
      </c>
      <c r="S20" s="46">
        <v>69</v>
      </c>
      <c r="T20" s="46">
        <v>1</v>
      </c>
      <c r="U20" s="46">
        <v>0</v>
      </c>
      <c r="V20" s="46">
        <v>1</v>
      </c>
      <c r="W20">
        <v>1</v>
      </c>
      <c r="X20" s="5">
        <v>8.1999999999999993</v>
      </c>
      <c r="Y20" s="5">
        <v>8.5</v>
      </c>
      <c r="Z20" s="31">
        <v>8.3000000000000007</v>
      </c>
      <c r="AA20" s="31">
        <v>9</v>
      </c>
      <c r="AB20" s="49">
        <v>8.5</v>
      </c>
      <c r="AC20" s="46">
        <v>59</v>
      </c>
      <c r="AD20" s="46">
        <v>1</v>
      </c>
      <c r="AE20" s="46">
        <v>0</v>
      </c>
      <c r="AF20">
        <v>1</v>
      </c>
      <c r="AG20" s="5">
        <v>8.1</v>
      </c>
      <c r="AH20" s="5">
        <v>8.1</v>
      </c>
      <c r="AI20" s="31">
        <v>9.6999999999999993</v>
      </c>
      <c r="AJ20" s="31">
        <v>10.4</v>
      </c>
      <c r="AK20" s="49">
        <v>9.0749999999999993</v>
      </c>
      <c r="AL20" s="46">
        <v>69</v>
      </c>
      <c r="AM20" s="46">
        <v>1</v>
      </c>
      <c r="AN20" s="46">
        <v>0</v>
      </c>
      <c r="AO20">
        <v>1</v>
      </c>
      <c r="AP20" s="5">
        <v>8.8000000000000007</v>
      </c>
      <c r="AQ20" s="5">
        <v>8.8000000000000007</v>
      </c>
      <c r="AR20" s="31">
        <v>10.7</v>
      </c>
      <c r="AS20" s="31">
        <v>9.6</v>
      </c>
      <c r="AT20" s="52">
        <v>9.4749999999999996</v>
      </c>
      <c r="AU20" s="1">
        <v>1</v>
      </c>
      <c r="AV20" s="1">
        <v>0</v>
      </c>
      <c r="AW20">
        <v>0</v>
      </c>
      <c r="AX20">
        <v>1</v>
      </c>
      <c r="AY20">
        <v>1</v>
      </c>
      <c r="AZ20" s="5">
        <v>10</v>
      </c>
      <c r="BA20" s="5">
        <v>0</v>
      </c>
      <c r="BB20">
        <v>0</v>
      </c>
      <c r="BD20" s="1">
        <v>5.7</v>
      </c>
      <c r="BE20" s="31">
        <v>5.8</v>
      </c>
      <c r="BF20">
        <v>5.7</v>
      </c>
      <c r="BG20">
        <v>5.4</v>
      </c>
      <c r="BI20">
        <f t="shared" si="0"/>
        <v>-10</v>
      </c>
      <c r="BJ20">
        <f t="shared" si="1"/>
        <v>0</v>
      </c>
      <c r="BK20">
        <f t="shared" si="2"/>
        <v>0</v>
      </c>
      <c r="BL20" s="53">
        <f t="shared" si="3"/>
        <v>0.57499999999999929</v>
      </c>
      <c r="BM20">
        <f t="shared" si="4"/>
        <v>10</v>
      </c>
      <c r="BN20">
        <f t="shared" si="5"/>
        <v>0</v>
      </c>
      <c r="BO20">
        <f t="shared" si="6"/>
        <v>0</v>
      </c>
      <c r="BP20" s="53">
        <f t="shared" si="7"/>
        <v>0.40000000000000036</v>
      </c>
      <c r="BQ20">
        <f t="shared" si="8"/>
        <v>0</v>
      </c>
      <c r="BR20">
        <f t="shared" si="9"/>
        <v>0</v>
      </c>
      <c r="BS20">
        <f t="shared" si="10"/>
        <v>0</v>
      </c>
      <c r="BT20" s="53">
        <f t="shared" si="11"/>
        <v>0.97499999999999964</v>
      </c>
    </row>
    <row r="21" spans="1:72" x14ac:dyDescent="0.2">
      <c r="A21" s="5" t="s">
        <v>50</v>
      </c>
      <c r="B21" s="5">
        <v>10</v>
      </c>
      <c r="C21" s="2">
        <v>1</v>
      </c>
      <c r="D21">
        <v>0</v>
      </c>
      <c r="E21">
        <v>0</v>
      </c>
      <c r="F21">
        <v>0</v>
      </c>
      <c r="G21">
        <v>1</v>
      </c>
      <c r="H21" s="42">
        <v>73</v>
      </c>
      <c r="I21" s="42">
        <v>179</v>
      </c>
      <c r="J21">
        <v>23.613623569149933</v>
      </c>
      <c r="K21">
        <v>21</v>
      </c>
      <c r="L21" s="42">
        <v>1</v>
      </c>
      <c r="M21" t="s">
        <v>5</v>
      </c>
      <c r="N21">
        <v>14</v>
      </c>
      <c r="O21">
        <v>7</v>
      </c>
      <c r="P21">
        <v>1</v>
      </c>
      <c r="Q21" s="5">
        <v>1</v>
      </c>
      <c r="R21" s="2">
        <v>0</v>
      </c>
      <c r="S21" s="46">
        <v>96</v>
      </c>
      <c r="T21" s="46">
        <v>0</v>
      </c>
      <c r="U21" s="46">
        <v>0</v>
      </c>
      <c r="V21" s="46">
        <v>0</v>
      </c>
      <c r="W21">
        <v>1</v>
      </c>
      <c r="X21" s="5">
        <v>6.6</v>
      </c>
      <c r="Y21" s="5">
        <v>6.7</v>
      </c>
      <c r="Z21" s="31">
        <v>7</v>
      </c>
      <c r="AA21" s="31">
        <v>7.6</v>
      </c>
      <c r="AB21" s="49">
        <v>6.9749999999999996</v>
      </c>
      <c r="AC21" s="46">
        <v>49</v>
      </c>
      <c r="AD21" s="46">
        <v>1</v>
      </c>
      <c r="AE21" s="46">
        <v>0</v>
      </c>
      <c r="AF21">
        <v>1</v>
      </c>
      <c r="AG21" s="5">
        <v>7.4</v>
      </c>
      <c r="AH21" s="5">
        <v>7.3</v>
      </c>
      <c r="AI21" s="31">
        <v>7.7</v>
      </c>
      <c r="AJ21" s="31">
        <v>8.1999999999999993</v>
      </c>
      <c r="AK21" s="49">
        <v>7.6499999999999995</v>
      </c>
      <c r="AL21" s="46">
        <v>69</v>
      </c>
      <c r="AM21" s="46">
        <v>1</v>
      </c>
      <c r="AN21" s="46">
        <v>0</v>
      </c>
      <c r="AO21">
        <v>1</v>
      </c>
      <c r="AP21" s="5">
        <v>9.3000000000000007</v>
      </c>
      <c r="AQ21" s="5">
        <v>8.3000000000000007</v>
      </c>
      <c r="AR21" s="31">
        <v>9.5</v>
      </c>
      <c r="AS21" s="31">
        <v>8.9</v>
      </c>
      <c r="AT21" s="52">
        <v>9</v>
      </c>
      <c r="AU21" s="1">
        <v>1</v>
      </c>
      <c r="AV21" s="1">
        <v>0</v>
      </c>
      <c r="AW21">
        <v>0</v>
      </c>
      <c r="AX21">
        <v>1</v>
      </c>
      <c r="AY21">
        <v>1</v>
      </c>
      <c r="AZ21" s="5">
        <v>47</v>
      </c>
      <c r="BA21" s="5">
        <v>27</v>
      </c>
      <c r="BB21">
        <v>1</v>
      </c>
      <c r="BD21" s="1">
        <v>9.1</v>
      </c>
      <c r="BE21" s="31">
        <v>9.6</v>
      </c>
      <c r="BF21">
        <v>9.1</v>
      </c>
      <c r="BG21">
        <v>9</v>
      </c>
      <c r="BI21">
        <f t="shared" si="0"/>
        <v>-47</v>
      </c>
      <c r="BJ21">
        <f t="shared" si="1"/>
        <v>1</v>
      </c>
      <c r="BK21">
        <f t="shared" si="2"/>
        <v>0</v>
      </c>
      <c r="BL21" s="53">
        <f t="shared" si="3"/>
        <v>0.67499999999999982</v>
      </c>
      <c r="BM21">
        <f t="shared" si="4"/>
        <v>20</v>
      </c>
      <c r="BN21">
        <f t="shared" si="5"/>
        <v>0</v>
      </c>
      <c r="BO21">
        <f t="shared" si="6"/>
        <v>0</v>
      </c>
      <c r="BP21" s="53">
        <f t="shared" si="7"/>
        <v>1.3500000000000005</v>
      </c>
      <c r="BQ21">
        <f t="shared" si="8"/>
        <v>-27</v>
      </c>
      <c r="BR21">
        <f t="shared" si="9"/>
        <v>1</v>
      </c>
      <c r="BS21">
        <f t="shared" si="10"/>
        <v>0</v>
      </c>
      <c r="BT21" s="53">
        <f t="shared" si="11"/>
        <v>2.0250000000000004</v>
      </c>
    </row>
    <row r="22" spans="1:72" x14ac:dyDescent="0.2">
      <c r="A22" t="s">
        <v>49</v>
      </c>
      <c r="B22">
        <v>11</v>
      </c>
      <c r="C22" s="2">
        <v>1</v>
      </c>
      <c r="D22">
        <v>1</v>
      </c>
      <c r="E22">
        <v>1</v>
      </c>
      <c r="F22">
        <v>1</v>
      </c>
      <c r="G22">
        <v>1</v>
      </c>
      <c r="H22" s="42">
        <v>73</v>
      </c>
      <c r="I22" s="42">
        <v>168</v>
      </c>
      <c r="J22">
        <v>22.16250703696754</v>
      </c>
      <c r="K22">
        <v>20</v>
      </c>
      <c r="L22" s="42">
        <v>1</v>
      </c>
      <c r="M22" t="s">
        <v>0</v>
      </c>
      <c r="N22">
        <v>12</v>
      </c>
      <c r="O22">
        <v>11</v>
      </c>
      <c r="P22">
        <v>0</v>
      </c>
      <c r="Q22">
        <v>0</v>
      </c>
      <c r="R22" s="2">
        <v>1</v>
      </c>
      <c r="S22" s="46">
        <v>99</v>
      </c>
      <c r="T22" s="46">
        <v>0</v>
      </c>
      <c r="U22" s="46">
        <v>1</v>
      </c>
      <c r="V22" s="46">
        <v>0</v>
      </c>
      <c r="W22">
        <v>0</v>
      </c>
      <c r="X22">
        <v>5.7</v>
      </c>
      <c r="Y22">
        <v>5.4</v>
      </c>
      <c r="Z22" s="31">
        <v>5.8</v>
      </c>
      <c r="AA22" s="31">
        <v>5.3</v>
      </c>
      <c r="AB22" s="49">
        <v>5.5500000000000007</v>
      </c>
      <c r="AC22" s="46">
        <v>100</v>
      </c>
      <c r="AD22" s="46">
        <v>0</v>
      </c>
      <c r="AE22" s="46">
        <v>0</v>
      </c>
      <c r="AF22">
        <v>0</v>
      </c>
      <c r="AG22">
        <v>5</v>
      </c>
      <c r="AH22">
        <v>4.9000000000000004</v>
      </c>
      <c r="AI22" s="31">
        <v>4.7</v>
      </c>
      <c r="AJ22" s="31">
        <v>5.0999999999999996</v>
      </c>
      <c r="AK22" s="49">
        <v>4.9250000000000007</v>
      </c>
      <c r="AL22" s="46">
        <v>80</v>
      </c>
      <c r="AM22" s="46">
        <v>0</v>
      </c>
      <c r="AN22" s="46">
        <v>0</v>
      </c>
      <c r="AO22">
        <v>1</v>
      </c>
      <c r="AP22">
        <v>6.8</v>
      </c>
      <c r="AQ22">
        <v>6.3</v>
      </c>
      <c r="AR22" s="31">
        <v>7.1</v>
      </c>
      <c r="AS22" s="31">
        <v>6.3</v>
      </c>
      <c r="AT22" s="52">
        <v>6.625</v>
      </c>
      <c r="AU22" s="1">
        <v>0</v>
      </c>
      <c r="AV22" s="1">
        <v>0</v>
      </c>
      <c r="AW22">
        <v>0</v>
      </c>
      <c r="AX22">
        <v>0</v>
      </c>
      <c r="AY22">
        <v>0</v>
      </c>
      <c r="AZ22">
        <v>-1</v>
      </c>
      <c r="BA22">
        <v>19</v>
      </c>
      <c r="BB22">
        <v>1</v>
      </c>
      <c r="BC22">
        <v>1</v>
      </c>
      <c r="BD22" s="1">
        <v>3.7</v>
      </c>
      <c r="BE22" s="31">
        <v>3.7</v>
      </c>
      <c r="BF22">
        <v>3.7</v>
      </c>
      <c r="BG22">
        <v>3.4</v>
      </c>
      <c r="BI22">
        <f t="shared" si="0"/>
        <v>1</v>
      </c>
      <c r="BJ22">
        <f t="shared" si="1"/>
        <v>0</v>
      </c>
      <c r="BK22">
        <f t="shared" si="2"/>
        <v>-1</v>
      </c>
      <c r="BL22" s="53">
        <f t="shared" si="3"/>
        <v>-0.625</v>
      </c>
      <c r="BM22">
        <f t="shared" si="4"/>
        <v>-20</v>
      </c>
      <c r="BN22">
        <f t="shared" si="5"/>
        <v>0</v>
      </c>
      <c r="BO22">
        <f t="shared" si="6"/>
        <v>0</v>
      </c>
      <c r="BP22" s="53">
        <f t="shared" si="7"/>
        <v>1.6999999999999993</v>
      </c>
      <c r="BQ22">
        <f t="shared" si="8"/>
        <v>-19</v>
      </c>
      <c r="BR22">
        <f t="shared" si="9"/>
        <v>0</v>
      </c>
      <c r="BS22">
        <f t="shared" si="10"/>
        <v>-1</v>
      </c>
      <c r="BT22" s="53">
        <f t="shared" si="11"/>
        <v>1.0749999999999993</v>
      </c>
    </row>
    <row r="23" spans="1:72" x14ac:dyDescent="0.2">
      <c r="A23" t="s">
        <v>48</v>
      </c>
      <c r="B23">
        <v>11</v>
      </c>
      <c r="C23" s="2">
        <v>1</v>
      </c>
      <c r="D23">
        <v>1</v>
      </c>
      <c r="E23">
        <v>1</v>
      </c>
      <c r="F23">
        <v>1</v>
      </c>
      <c r="G23">
        <v>1</v>
      </c>
      <c r="H23" s="42">
        <v>73</v>
      </c>
      <c r="I23" s="42">
        <v>168</v>
      </c>
      <c r="J23">
        <v>22.16250703696754</v>
      </c>
      <c r="K23">
        <v>20</v>
      </c>
      <c r="L23" s="42">
        <v>1</v>
      </c>
      <c r="M23" t="s">
        <v>0</v>
      </c>
      <c r="N23">
        <v>12</v>
      </c>
      <c r="O23">
        <v>11</v>
      </c>
      <c r="P23">
        <v>0</v>
      </c>
      <c r="Q23">
        <v>0</v>
      </c>
      <c r="R23" s="2">
        <v>1</v>
      </c>
      <c r="S23" s="46">
        <v>100</v>
      </c>
      <c r="T23" s="46">
        <v>0</v>
      </c>
      <c r="U23" s="46">
        <v>0</v>
      </c>
      <c r="V23" s="46">
        <v>0</v>
      </c>
      <c r="W23">
        <v>0</v>
      </c>
      <c r="X23">
        <v>9.1</v>
      </c>
      <c r="Y23">
        <v>9</v>
      </c>
      <c r="Z23" s="31">
        <v>9.6</v>
      </c>
      <c r="AA23" s="31">
        <v>8.3000000000000007</v>
      </c>
      <c r="AB23" s="49">
        <v>9</v>
      </c>
      <c r="AC23" s="46">
        <v>100</v>
      </c>
      <c r="AD23" s="46">
        <v>0</v>
      </c>
      <c r="AE23" s="46">
        <v>1</v>
      </c>
      <c r="AF23">
        <v>0</v>
      </c>
      <c r="AG23">
        <v>6.2</v>
      </c>
      <c r="AH23">
        <v>6.4</v>
      </c>
      <c r="AI23" s="31">
        <v>5.7</v>
      </c>
      <c r="AJ23" s="31">
        <v>5.6</v>
      </c>
      <c r="AK23" s="49">
        <v>5.9749999999999996</v>
      </c>
      <c r="AL23" s="46">
        <v>99</v>
      </c>
      <c r="AM23" s="46">
        <v>0</v>
      </c>
      <c r="AN23" s="46">
        <v>0</v>
      </c>
      <c r="AO23">
        <v>1</v>
      </c>
      <c r="AP23" s="4">
        <v>6.2</v>
      </c>
      <c r="AQ23" s="4">
        <v>7</v>
      </c>
      <c r="AR23" s="31">
        <v>7.1</v>
      </c>
      <c r="AS23" s="31">
        <v>8</v>
      </c>
      <c r="AT23" s="52">
        <v>7.0749999999999993</v>
      </c>
      <c r="AU23" s="1">
        <v>1</v>
      </c>
      <c r="AV23" s="1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 s="1">
        <v>3.5</v>
      </c>
      <c r="BE23" s="31">
        <v>3.8</v>
      </c>
      <c r="BF23">
        <v>3.5</v>
      </c>
      <c r="BG23">
        <v>3.9</v>
      </c>
      <c r="BI23">
        <f t="shared" si="0"/>
        <v>0</v>
      </c>
      <c r="BJ23">
        <f t="shared" si="1"/>
        <v>0</v>
      </c>
      <c r="BK23">
        <f t="shared" si="2"/>
        <v>1</v>
      </c>
      <c r="BL23" s="53">
        <f t="shared" si="3"/>
        <v>-3.0250000000000004</v>
      </c>
      <c r="BM23">
        <f t="shared" si="4"/>
        <v>-1</v>
      </c>
      <c r="BN23">
        <f t="shared" si="5"/>
        <v>0</v>
      </c>
      <c r="BO23">
        <f t="shared" si="6"/>
        <v>-1</v>
      </c>
      <c r="BP23" s="53">
        <f t="shared" si="7"/>
        <v>1.0999999999999996</v>
      </c>
      <c r="BQ23">
        <f t="shared" si="8"/>
        <v>-1</v>
      </c>
      <c r="BR23">
        <f t="shared" si="9"/>
        <v>0</v>
      </c>
      <c r="BS23">
        <f t="shared" si="10"/>
        <v>0</v>
      </c>
      <c r="BT23" s="53">
        <f t="shared" si="11"/>
        <v>-1.9250000000000007</v>
      </c>
    </row>
    <row r="24" spans="1:72" x14ac:dyDescent="0.2">
      <c r="A24" t="s">
        <v>47</v>
      </c>
      <c r="B24">
        <v>12</v>
      </c>
      <c r="C24" s="2">
        <v>1</v>
      </c>
      <c r="D24">
        <v>1</v>
      </c>
      <c r="E24">
        <v>1</v>
      </c>
      <c r="F24">
        <v>1</v>
      </c>
      <c r="G24">
        <v>1</v>
      </c>
      <c r="H24" s="42">
        <v>80</v>
      </c>
      <c r="I24" s="42">
        <v>220</v>
      </c>
      <c r="J24">
        <v>24.165625000000002</v>
      </c>
      <c r="K24">
        <v>19</v>
      </c>
      <c r="L24" s="42">
        <v>2</v>
      </c>
      <c r="M24" t="s">
        <v>0</v>
      </c>
      <c r="N24">
        <v>12</v>
      </c>
      <c r="O24">
        <v>4</v>
      </c>
      <c r="P24">
        <v>0</v>
      </c>
      <c r="Q24">
        <v>0</v>
      </c>
      <c r="R24" s="2">
        <v>0</v>
      </c>
      <c r="S24" s="46">
        <v>100</v>
      </c>
      <c r="T24" s="46">
        <v>0</v>
      </c>
      <c r="U24" s="46">
        <v>0</v>
      </c>
      <c r="V24" s="46">
        <v>0</v>
      </c>
      <c r="W24">
        <v>0</v>
      </c>
      <c r="X24">
        <v>3.7</v>
      </c>
      <c r="Y24">
        <v>3.4</v>
      </c>
      <c r="Z24" s="31">
        <v>3.7</v>
      </c>
      <c r="AA24" s="31">
        <v>3.6</v>
      </c>
      <c r="AB24" s="49">
        <v>3.6</v>
      </c>
      <c r="AC24" s="46">
        <v>93</v>
      </c>
      <c r="AD24" s="46">
        <v>0</v>
      </c>
      <c r="AE24" s="46">
        <v>0</v>
      </c>
      <c r="AF24">
        <v>0</v>
      </c>
      <c r="AG24">
        <v>3.4</v>
      </c>
      <c r="AH24">
        <v>3.8</v>
      </c>
      <c r="AI24" s="31">
        <v>3.3</v>
      </c>
      <c r="AJ24" s="31">
        <v>3.9</v>
      </c>
      <c r="AK24" s="49">
        <v>3.6</v>
      </c>
      <c r="AL24" s="46">
        <v>98</v>
      </c>
      <c r="AM24" s="46">
        <v>0</v>
      </c>
      <c r="AN24" s="46">
        <v>0</v>
      </c>
      <c r="AO24">
        <v>0</v>
      </c>
      <c r="AP24">
        <v>3.8</v>
      </c>
      <c r="AQ24">
        <v>3.5</v>
      </c>
      <c r="AR24" s="31">
        <v>3.6</v>
      </c>
      <c r="AS24" s="31">
        <v>3.4</v>
      </c>
      <c r="AT24" s="52">
        <v>3.5750000000000002</v>
      </c>
      <c r="AU24" s="1">
        <v>0</v>
      </c>
      <c r="AV24" s="1">
        <v>0</v>
      </c>
      <c r="AW24">
        <v>0</v>
      </c>
      <c r="AX24">
        <v>0</v>
      </c>
      <c r="AY24">
        <v>0</v>
      </c>
      <c r="AZ24">
        <v>7</v>
      </c>
      <c r="BA24">
        <v>2</v>
      </c>
      <c r="BB24">
        <v>0</v>
      </c>
      <c r="BC24">
        <v>0</v>
      </c>
      <c r="BD24" s="1">
        <v>4.7</v>
      </c>
      <c r="BE24" s="31">
        <v>4.7</v>
      </c>
      <c r="BF24">
        <v>4.7</v>
      </c>
      <c r="BG24">
        <v>4.9000000000000004</v>
      </c>
      <c r="BI24">
        <f t="shared" si="0"/>
        <v>-7</v>
      </c>
      <c r="BJ24">
        <f t="shared" si="1"/>
        <v>0</v>
      </c>
      <c r="BK24">
        <f t="shared" si="2"/>
        <v>0</v>
      </c>
      <c r="BL24" s="53">
        <f t="shared" si="3"/>
        <v>0</v>
      </c>
      <c r="BM24">
        <f t="shared" si="4"/>
        <v>5</v>
      </c>
      <c r="BN24">
        <f t="shared" si="5"/>
        <v>0</v>
      </c>
      <c r="BO24">
        <f t="shared" si="6"/>
        <v>0</v>
      </c>
      <c r="BP24" s="53">
        <f t="shared" si="7"/>
        <v>-2.4999999999999911E-2</v>
      </c>
      <c r="BQ24">
        <f t="shared" si="8"/>
        <v>-2</v>
      </c>
      <c r="BR24">
        <f t="shared" si="9"/>
        <v>0</v>
      </c>
      <c r="BS24">
        <f t="shared" si="10"/>
        <v>0</v>
      </c>
      <c r="BT24" s="53">
        <f t="shared" si="11"/>
        <v>-2.4999999999999911E-2</v>
      </c>
    </row>
    <row r="25" spans="1:72" x14ac:dyDescent="0.2">
      <c r="A25" t="s">
        <v>46</v>
      </c>
      <c r="B25">
        <v>12</v>
      </c>
      <c r="C25" s="2">
        <v>1</v>
      </c>
      <c r="D25">
        <v>1</v>
      </c>
      <c r="E25">
        <v>1</v>
      </c>
      <c r="F25">
        <v>1</v>
      </c>
      <c r="G25">
        <v>1</v>
      </c>
      <c r="H25" s="42">
        <v>80</v>
      </c>
      <c r="I25" s="42">
        <v>220</v>
      </c>
      <c r="J25">
        <v>24.165625000000002</v>
      </c>
      <c r="K25">
        <v>19</v>
      </c>
      <c r="L25" s="42">
        <v>2</v>
      </c>
      <c r="M25" t="s">
        <v>0</v>
      </c>
      <c r="N25">
        <v>12</v>
      </c>
      <c r="O25">
        <v>4</v>
      </c>
      <c r="P25">
        <v>0</v>
      </c>
      <c r="Q25">
        <v>0</v>
      </c>
      <c r="R25" s="2">
        <v>0</v>
      </c>
      <c r="S25" s="46">
        <v>100</v>
      </c>
      <c r="T25" s="46">
        <v>0</v>
      </c>
      <c r="U25" s="46">
        <v>0</v>
      </c>
      <c r="V25" s="46">
        <v>0</v>
      </c>
      <c r="W25">
        <v>0</v>
      </c>
      <c r="X25">
        <v>3.5</v>
      </c>
      <c r="Y25">
        <v>3.9</v>
      </c>
      <c r="Z25" s="31">
        <v>3.8</v>
      </c>
      <c r="AA25" s="31">
        <v>4.2</v>
      </c>
      <c r="AB25" s="49">
        <v>3.8499999999999996</v>
      </c>
      <c r="AC25" s="46">
        <v>100</v>
      </c>
      <c r="AD25" s="46">
        <v>0</v>
      </c>
      <c r="AE25" s="46">
        <v>0</v>
      </c>
      <c r="AF25">
        <v>0</v>
      </c>
      <c r="AG25">
        <v>3.9</v>
      </c>
      <c r="AH25">
        <v>4.4000000000000004</v>
      </c>
      <c r="AI25" s="31">
        <v>3.8</v>
      </c>
      <c r="AJ25" s="31">
        <v>4.8</v>
      </c>
      <c r="AK25" s="49">
        <v>4.2250000000000005</v>
      </c>
      <c r="AL25" s="46">
        <v>98</v>
      </c>
      <c r="AM25" s="46">
        <v>0</v>
      </c>
      <c r="AN25" s="46">
        <v>0</v>
      </c>
      <c r="AO25">
        <v>0</v>
      </c>
      <c r="AP25">
        <v>4.5999999999999996</v>
      </c>
      <c r="AQ25">
        <v>4.5</v>
      </c>
      <c r="AR25" s="31">
        <v>5.0999999999999996</v>
      </c>
      <c r="AS25" s="31">
        <v>4.7</v>
      </c>
      <c r="AT25" s="52">
        <v>4.7249999999999996</v>
      </c>
      <c r="AU25" s="1">
        <v>0</v>
      </c>
      <c r="AV25" s="1">
        <v>0</v>
      </c>
      <c r="AW25">
        <v>0</v>
      </c>
      <c r="AX25">
        <v>0</v>
      </c>
      <c r="AY25">
        <v>0</v>
      </c>
      <c r="AZ25">
        <v>0</v>
      </c>
      <c r="BA25">
        <v>2</v>
      </c>
      <c r="BB25">
        <v>0</v>
      </c>
      <c r="BC25">
        <v>0</v>
      </c>
      <c r="BD25" s="1">
        <v>3.9</v>
      </c>
      <c r="BE25" s="31">
        <v>3.8</v>
      </c>
      <c r="BF25">
        <v>3.9</v>
      </c>
      <c r="BG25">
        <v>4.3</v>
      </c>
      <c r="BI25">
        <f t="shared" si="0"/>
        <v>0</v>
      </c>
      <c r="BJ25">
        <f t="shared" si="1"/>
        <v>0</v>
      </c>
      <c r="BK25">
        <f t="shared" si="2"/>
        <v>0</v>
      </c>
      <c r="BL25" s="53">
        <f t="shared" si="3"/>
        <v>0.37500000000000089</v>
      </c>
      <c r="BM25">
        <f t="shared" si="4"/>
        <v>-2</v>
      </c>
      <c r="BN25">
        <f t="shared" si="5"/>
        <v>0</v>
      </c>
      <c r="BO25">
        <f t="shared" si="6"/>
        <v>0</v>
      </c>
      <c r="BP25" s="53">
        <f t="shared" si="7"/>
        <v>0.49999999999999911</v>
      </c>
      <c r="BQ25">
        <f t="shared" si="8"/>
        <v>-2</v>
      </c>
      <c r="BR25">
        <f t="shared" si="9"/>
        <v>0</v>
      </c>
      <c r="BS25">
        <f t="shared" si="10"/>
        <v>0</v>
      </c>
      <c r="BT25" s="53">
        <f t="shared" si="11"/>
        <v>0.875</v>
      </c>
    </row>
    <row r="26" spans="1:72" x14ac:dyDescent="0.2">
      <c r="A26" t="s">
        <v>45</v>
      </c>
      <c r="B26">
        <v>13</v>
      </c>
      <c r="C26" s="2">
        <v>1</v>
      </c>
      <c r="D26">
        <v>1</v>
      </c>
      <c r="E26">
        <v>1</v>
      </c>
      <c r="F26">
        <v>1</v>
      </c>
      <c r="G26">
        <v>1</v>
      </c>
      <c r="H26" s="42">
        <v>78</v>
      </c>
      <c r="I26" s="42">
        <v>245</v>
      </c>
      <c r="J26">
        <v>28.309500328731101</v>
      </c>
      <c r="K26">
        <v>21</v>
      </c>
      <c r="L26" s="42">
        <v>2</v>
      </c>
      <c r="M26" t="s">
        <v>12</v>
      </c>
      <c r="N26">
        <v>13</v>
      </c>
      <c r="O26">
        <v>6</v>
      </c>
      <c r="P26">
        <v>0</v>
      </c>
      <c r="Q26">
        <v>0</v>
      </c>
      <c r="R26" s="2">
        <v>1</v>
      </c>
      <c r="S26" s="46">
        <v>96</v>
      </c>
      <c r="T26" s="46">
        <v>0</v>
      </c>
      <c r="U26" s="46">
        <v>0</v>
      </c>
      <c r="V26" s="46">
        <v>0</v>
      </c>
      <c r="W26">
        <v>0</v>
      </c>
      <c r="X26">
        <v>4.7</v>
      </c>
      <c r="Y26">
        <v>4.9000000000000004</v>
      </c>
      <c r="Z26" s="31">
        <v>4.7</v>
      </c>
      <c r="AA26" s="31">
        <v>4.9000000000000004</v>
      </c>
      <c r="AB26" s="49">
        <v>4.8000000000000007</v>
      </c>
      <c r="AC26" s="46">
        <v>70</v>
      </c>
      <c r="AD26" s="46">
        <v>0</v>
      </c>
      <c r="AE26" s="46">
        <v>0</v>
      </c>
      <c r="AF26">
        <v>1</v>
      </c>
      <c r="AG26" s="4">
        <v>6.9</v>
      </c>
      <c r="AH26" s="4">
        <v>6.7</v>
      </c>
      <c r="AI26" s="31">
        <v>7.3</v>
      </c>
      <c r="AJ26" s="31">
        <v>6.8</v>
      </c>
      <c r="AK26" s="49">
        <v>6.9250000000000007</v>
      </c>
      <c r="AL26" s="46">
        <v>98</v>
      </c>
      <c r="AM26" s="46">
        <v>0</v>
      </c>
      <c r="AN26" s="46">
        <v>0</v>
      </c>
      <c r="AO26">
        <v>1</v>
      </c>
      <c r="AP26" s="7">
        <v>5.3</v>
      </c>
      <c r="AQ26" s="7">
        <v>5.6</v>
      </c>
      <c r="AR26">
        <v>5.6</v>
      </c>
      <c r="AS26">
        <v>5.6</v>
      </c>
      <c r="AT26" s="52">
        <v>5.5250000000000004</v>
      </c>
      <c r="AU26" s="1">
        <v>0</v>
      </c>
      <c r="AV26" s="1">
        <v>0</v>
      </c>
      <c r="AW26">
        <v>0</v>
      </c>
      <c r="AX26">
        <v>1</v>
      </c>
      <c r="AY26">
        <v>0</v>
      </c>
      <c r="AZ26">
        <v>26</v>
      </c>
      <c r="BA26">
        <v>-2</v>
      </c>
      <c r="BB26">
        <v>1</v>
      </c>
      <c r="BC26">
        <v>1</v>
      </c>
      <c r="BD26" s="35">
        <v>9.1</v>
      </c>
      <c r="BE26" s="31">
        <v>8.3000000000000007</v>
      </c>
      <c r="BF26" s="7">
        <v>9.1</v>
      </c>
      <c r="BG26" s="7">
        <v>8.6</v>
      </c>
      <c r="BI26">
        <f t="shared" si="0"/>
        <v>-26</v>
      </c>
      <c r="BJ26">
        <f t="shared" si="1"/>
        <v>0</v>
      </c>
      <c r="BK26">
        <f t="shared" si="2"/>
        <v>0</v>
      </c>
      <c r="BL26" s="53">
        <f t="shared" si="3"/>
        <v>2.125</v>
      </c>
      <c r="BM26">
        <f t="shared" si="4"/>
        <v>28</v>
      </c>
      <c r="BN26">
        <f t="shared" si="5"/>
        <v>0</v>
      </c>
      <c r="BO26">
        <f t="shared" si="6"/>
        <v>0</v>
      </c>
      <c r="BP26" s="53">
        <f t="shared" si="7"/>
        <v>-1.4000000000000004</v>
      </c>
      <c r="BQ26">
        <f t="shared" si="8"/>
        <v>2</v>
      </c>
      <c r="BR26">
        <f t="shared" si="9"/>
        <v>0</v>
      </c>
      <c r="BS26">
        <f t="shared" si="10"/>
        <v>0</v>
      </c>
      <c r="BT26" s="53">
        <f t="shared" si="11"/>
        <v>0.72499999999999964</v>
      </c>
    </row>
    <row r="27" spans="1:72" x14ac:dyDescent="0.2">
      <c r="A27" t="s">
        <v>44</v>
      </c>
      <c r="B27">
        <v>13</v>
      </c>
      <c r="C27" s="2">
        <v>1</v>
      </c>
      <c r="D27">
        <v>1</v>
      </c>
      <c r="E27">
        <v>0</v>
      </c>
      <c r="F27">
        <v>1</v>
      </c>
      <c r="G27">
        <v>1</v>
      </c>
      <c r="H27" s="42">
        <v>78</v>
      </c>
      <c r="I27" s="42">
        <v>245</v>
      </c>
      <c r="J27">
        <v>28.309500328731101</v>
      </c>
      <c r="K27">
        <v>21</v>
      </c>
      <c r="L27" s="42">
        <v>2</v>
      </c>
      <c r="M27" t="s">
        <v>12</v>
      </c>
      <c r="N27">
        <v>13</v>
      </c>
      <c r="O27">
        <v>6</v>
      </c>
      <c r="P27">
        <v>1</v>
      </c>
      <c r="Q27">
        <v>0</v>
      </c>
      <c r="R27" s="2">
        <v>1</v>
      </c>
      <c r="S27" s="46">
        <v>66</v>
      </c>
      <c r="T27" s="46">
        <v>0</v>
      </c>
      <c r="U27" s="46">
        <v>0</v>
      </c>
      <c r="V27" s="46">
        <v>1</v>
      </c>
      <c r="W27">
        <v>0</v>
      </c>
      <c r="X27">
        <v>3.9</v>
      </c>
      <c r="Y27">
        <v>4.3</v>
      </c>
      <c r="Z27" s="31">
        <v>3.8</v>
      </c>
      <c r="AA27" s="31">
        <v>4.5</v>
      </c>
      <c r="AB27" s="49">
        <v>4.125</v>
      </c>
      <c r="AC27" s="46">
        <v>62</v>
      </c>
      <c r="AD27" s="46">
        <v>0</v>
      </c>
      <c r="AE27" s="46">
        <v>0</v>
      </c>
      <c r="AF27">
        <v>0</v>
      </c>
      <c r="AG27">
        <v>5.3</v>
      </c>
      <c r="AH27">
        <v>4.8</v>
      </c>
      <c r="AI27" s="31">
        <v>5.3</v>
      </c>
      <c r="AJ27" s="31">
        <v>5.0999999999999996</v>
      </c>
      <c r="AK27" s="49">
        <v>5.125</v>
      </c>
      <c r="AL27" s="46">
        <v>94</v>
      </c>
      <c r="AM27" s="46">
        <v>0</v>
      </c>
      <c r="AN27" s="46">
        <v>0</v>
      </c>
      <c r="AO27">
        <v>1</v>
      </c>
      <c r="AP27" s="7">
        <v>6.4</v>
      </c>
      <c r="AQ27" s="7">
        <v>6.1</v>
      </c>
      <c r="AR27">
        <v>6.5</v>
      </c>
      <c r="AS27">
        <v>6.2</v>
      </c>
      <c r="AT27" s="52">
        <v>6.3</v>
      </c>
      <c r="AU27" s="1">
        <v>0</v>
      </c>
      <c r="AV27" s="1">
        <v>0</v>
      </c>
      <c r="AW27">
        <v>0</v>
      </c>
      <c r="AX27">
        <v>1</v>
      </c>
      <c r="AY27">
        <v>1</v>
      </c>
      <c r="AZ27">
        <v>4</v>
      </c>
      <c r="BA27">
        <v>-28</v>
      </c>
      <c r="BB27">
        <v>0</v>
      </c>
      <c r="BC27">
        <v>1</v>
      </c>
      <c r="BD27" s="1">
        <v>5.6</v>
      </c>
      <c r="BE27" s="31">
        <v>5.6</v>
      </c>
      <c r="BF27">
        <v>5.6</v>
      </c>
      <c r="BG27" s="7">
        <v>6.1</v>
      </c>
      <c r="BI27">
        <f t="shared" si="0"/>
        <v>-4</v>
      </c>
      <c r="BJ27">
        <f t="shared" si="1"/>
        <v>0</v>
      </c>
      <c r="BK27">
        <f t="shared" si="2"/>
        <v>0</v>
      </c>
      <c r="BL27" s="53">
        <f t="shared" si="3"/>
        <v>1</v>
      </c>
      <c r="BM27">
        <f t="shared" si="4"/>
        <v>32</v>
      </c>
      <c r="BN27">
        <f t="shared" si="5"/>
        <v>0</v>
      </c>
      <c r="BO27">
        <f t="shared" si="6"/>
        <v>0</v>
      </c>
      <c r="BP27" s="53">
        <f t="shared" si="7"/>
        <v>1.1749999999999998</v>
      </c>
      <c r="BQ27">
        <f t="shared" si="8"/>
        <v>28</v>
      </c>
      <c r="BR27">
        <f t="shared" si="9"/>
        <v>0</v>
      </c>
      <c r="BS27">
        <f t="shared" si="10"/>
        <v>0</v>
      </c>
      <c r="BT27" s="53">
        <f t="shared" si="11"/>
        <v>2.1749999999999998</v>
      </c>
    </row>
    <row r="28" spans="1:72" x14ac:dyDescent="0.2">
      <c r="A28" t="s">
        <v>43</v>
      </c>
      <c r="B28">
        <v>14</v>
      </c>
      <c r="C28" s="2">
        <v>1</v>
      </c>
      <c r="D28">
        <v>1</v>
      </c>
      <c r="E28">
        <v>0</v>
      </c>
      <c r="F28">
        <v>0</v>
      </c>
      <c r="G28">
        <v>1</v>
      </c>
      <c r="H28" s="42">
        <v>80</v>
      </c>
      <c r="I28" s="42">
        <v>245</v>
      </c>
      <c r="J28">
        <v>26.911718750000002</v>
      </c>
      <c r="K28">
        <v>22</v>
      </c>
      <c r="L28" s="42">
        <v>2</v>
      </c>
      <c r="M28" t="s">
        <v>5</v>
      </c>
      <c r="N28">
        <v>18</v>
      </c>
      <c r="O28">
        <v>8</v>
      </c>
      <c r="P28">
        <v>1</v>
      </c>
      <c r="Q28">
        <v>0</v>
      </c>
      <c r="R28" s="2">
        <v>1</v>
      </c>
      <c r="S28" s="46">
        <v>68</v>
      </c>
      <c r="T28" s="46">
        <v>1</v>
      </c>
      <c r="U28" s="46">
        <v>0</v>
      </c>
      <c r="V28" s="46">
        <v>1</v>
      </c>
      <c r="W28">
        <v>1</v>
      </c>
      <c r="X28" s="7">
        <v>9.1</v>
      </c>
      <c r="Y28" s="7">
        <v>8.6</v>
      </c>
      <c r="Z28" s="31">
        <v>8.3000000000000007</v>
      </c>
      <c r="AA28" s="31">
        <v>8.5</v>
      </c>
      <c r="AB28" s="49">
        <v>8.625</v>
      </c>
      <c r="AC28" s="46">
        <v>53</v>
      </c>
      <c r="AD28" s="46">
        <v>1</v>
      </c>
      <c r="AE28" s="46">
        <v>0</v>
      </c>
      <c r="AF28">
        <v>1</v>
      </c>
      <c r="AG28" s="7">
        <v>8.3000000000000007</v>
      </c>
      <c r="AH28" s="7">
        <v>8.4</v>
      </c>
      <c r="AI28" s="31">
        <v>7.9</v>
      </c>
      <c r="AJ28" s="31">
        <v>8.4</v>
      </c>
      <c r="AK28" s="49">
        <v>8.25</v>
      </c>
      <c r="AL28" s="46">
        <v>61</v>
      </c>
      <c r="AM28" s="46">
        <v>1</v>
      </c>
      <c r="AN28" s="46">
        <v>0</v>
      </c>
      <c r="AO28">
        <v>1</v>
      </c>
      <c r="AP28" s="4">
        <v>9.4</v>
      </c>
      <c r="AQ28" s="4">
        <v>9.1</v>
      </c>
      <c r="AR28" s="31">
        <v>10.3</v>
      </c>
      <c r="AS28" s="31">
        <v>9.4</v>
      </c>
      <c r="AT28" s="52">
        <v>9.5500000000000007</v>
      </c>
      <c r="AU28" s="1">
        <v>1</v>
      </c>
      <c r="AV28" s="1">
        <v>0</v>
      </c>
      <c r="AW28">
        <v>0</v>
      </c>
      <c r="AX28">
        <v>1</v>
      </c>
      <c r="AY28">
        <v>1</v>
      </c>
      <c r="AZ28">
        <v>15</v>
      </c>
      <c r="BA28">
        <v>7</v>
      </c>
      <c r="BB28">
        <v>1</v>
      </c>
      <c r="BC28">
        <v>1</v>
      </c>
      <c r="BD28" s="1">
        <v>3.5</v>
      </c>
      <c r="BE28" s="31">
        <v>3.6</v>
      </c>
      <c r="BF28">
        <v>3.5</v>
      </c>
      <c r="BG28">
        <v>4.0999999999999996</v>
      </c>
      <c r="BI28">
        <f t="shared" si="0"/>
        <v>-15</v>
      </c>
      <c r="BJ28">
        <f t="shared" si="1"/>
        <v>0</v>
      </c>
      <c r="BK28">
        <f t="shared" si="2"/>
        <v>0</v>
      </c>
      <c r="BL28" s="53">
        <f t="shared" si="3"/>
        <v>-0.375</v>
      </c>
      <c r="BM28">
        <f t="shared" si="4"/>
        <v>8</v>
      </c>
      <c r="BN28">
        <f t="shared" si="5"/>
        <v>0</v>
      </c>
      <c r="BO28">
        <f t="shared" si="6"/>
        <v>0</v>
      </c>
      <c r="BP28" s="53">
        <f t="shared" si="7"/>
        <v>1.3000000000000007</v>
      </c>
      <c r="BQ28">
        <f t="shared" si="8"/>
        <v>-7</v>
      </c>
      <c r="BR28">
        <f t="shared" si="9"/>
        <v>0</v>
      </c>
      <c r="BS28">
        <f t="shared" si="10"/>
        <v>0</v>
      </c>
      <c r="BT28" s="53">
        <f t="shared" si="11"/>
        <v>0.92500000000000071</v>
      </c>
    </row>
    <row r="29" spans="1:72" x14ac:dyDescent="0.2">
      <c r="A29" t="s">
        <v>42</v>
      </c>
      <c r="B29">
        <v>14</v>
      </c>
      <c r="C29" s="2">
        <v>1</v>
      </c>
      <c r="D29">
        <v>1</v>
      </c>
      <c r="E29">
        <v>0</v>
      </c>
      <c r="F29">
        <v>0</v>
      </c>
      <c r="G29">
        <v>1</v>
      </c>
      <c r="H29" s="42">
        <v>80</v>
      </c>
      <c r="I29" s="42">
        <v>245</v>
      </c>
      <c r="J29">
        <v>26.911718750000002</v>
      </c>
      <c r="K29">
        <v>22</v>
      </c>
      <c r="L29" s="42">
        <v>2</v>
      </c>
      <c r="M29" t="s">
        <v>5</v>
      </c>
      <c r="N29">
        <v>18</v>
      </c>
      <c r="O29">
        <v>8</v>
      </c>
      <c r="P29">
        <v>0</v>
      </c>
      <c r="Q29">
        <v>0</v>
      </c>
      <c r="R29" s="2">
        <v>1</v>
      </c>
      <c r="S29" s="46">
        <v>68</v>
      </c>
      <c r="T29" s="46">
        <v>0</v>
      </c>
      <c r="U29" s="46">
        <v>0</v>
      </c>
      <c r="V29" s="46">
        <v>1</v>
      </c>
      <c r="W29">
        <v>1</v>
      </c>
      <c r="X29">
        <v>5.6</v>
      </c>
      <c r="Y29" s="7">
        <v>6.1</v>
      </c>
      <c r="Z29" s="31">
        <v>5.6</v>
      </c>
      <c r="AA29" s="31">
        <v>6</v>
      </c>
      <c r="AB29" s="49">
        <v>5.8249999999999993</v>
      </c>
      <c r="AC29" s="46">
        <v>53</v>
      </c>
      <c r="AD29" s="46">
        <v>1</v>
      </c>
      <c r="AE29" s="46">
        <v>0</v>
      </c>
      <c r="AF29">
        <v>1</v>
      </c>
      <c r="AG29" s="4">
        <v>7.4</v>
      </c>
      <c r="AH29" s="4">
        <v>7.3</v>
      </c>
      <c r="AI29" s="31">
        <v>7.4</v>
      </c>
      <c r="AJ29" s="31">
        <v>7.4</v>
      </c>
      <c r="AK29" s="49">
        <v>7.375</v>
      </c>
      <c r="AL29" s="46">
        <v>61</v>
      </c>
      <c r="AM29" s="46">
        <v>1</v>
      </c>
      <c r="AN29" s="46">
        <v>0</v>
      </c>
      <c r="AO29">
        <v>1</v>
      </c>
      <c r="AP29" s="4">
        <v>6.4</v>
      </c>
      <c r="AQ29" s="4">
        <v>6.2</v>
      </c>
      <c r="AR29" s="31">
        <v>7</v>
      </c>
      <c r="AS29" s="31">
        <v>6.4</v>
      </c>
      <c r="AT29" s="52">
        <v>6.5</v>
      </c>
      <c r="AU29" s="1">
        <v>1</v>
      </c>
      <c r="AV29" s="1">
        <v>0</v>
      </c>
      <c r="AW29">
        <v>0</v>
      </c>
      <c r="AX29">
        <v>1</v>
      </c>
      <c r="AY29">
        <v>1</v>
      </c>
      <c r="AZ29">
        <v>15</v>
      </c>
      <c r="BA29">
        <v>7</v>
      </c>
      <c r="BB29">
        <v>1</v>
      </c>
      <c r="BC29">
        <v>1</v>
      </c>
      <c r="BD29" s="1">
        <v>3.7</v>
      </c>
      <c r="BE29" s="31">
        <v>3.8</v>
      </c>
      <c r="BF29">
        <v>3.7</v>
      </c>
      <c r="BG29">
        <v>3.6</v>
      </c>
      <c r="BI29">
        <f t="shared" si="0"/>
        <v>-15</v>
      </c>
      <c r="BJ29">
        <f t="shared" si="1"/>
        <v>1</v>
      </c>
      <c r="BK29">
        <f t="shared" si="2"/>
        <v>0</v>
      </c>
      <c r="BL29" s="53">
        <f t="shared" si="3"/>
        <v>1.5500000000000007</v>
      </c>
      <c r="BM29">
        <f t="shared" si="4"/>
        <v>8</v>
      </c>
      <c r="BN29">
        <f t="shared" si="5"/>
        <v>0</v>
      </c>
      <c r="BO29">
        <f t="shared" si="6"/>
        <v>0</v>
      </c>
      <c r="BP29" s="53">
        <f t="shared" si="7"/>
        <v>-0.875</v>
      </c>
      <c r="BQ29">
        <f t="shared" si="8"/>
        <v>-7</v>
      </c>
      <c r="BR29">
        <f t="shared" si="9"/>
        <v>1</v>
      </c>
      <c r="BS29">
        <f t="shared" si="10"/>
        <v>0</v>
      </c>
      <c r="BT29" s="53">
        <f t="shared" si="11"/>
        <v>0.67500000000000071</v>
      </c>
    </row>
    <row r="30" spans="1:72" x14ac:dyDescent="0.2">
      <c r="A30" t="s">
        <v>41</v>
      </c>
      <c r="B30">
        <v>15</v>
      </c>
      <c r="C30" s="2">
        <v>1</v>
      </c>
      <c r="D30">
        <v>0</v>
      </c>
      <c r="E30">
        <v>0</v>
      </c>
      <c r="F30">
        <v>1</v>
      </c>
      <c r="G30">
        <v>1</v>
      </c>
      <c r="H30" s="42">
        <v>75</v>
      </c>
      <c r="I30" s="42">
        <v>175</v>
      </c>
      <c r="J30">
        <v>21.871111111111109</v>
      </c>
      <c r="K30">
        <v>22</v>
      </c>
      <c r="L30" s="42">
        <v>1</v>
      </c>
      <c r="M30" t="s">
        <v>12</v>
      </c>
      <c r="N30">
        <v>11</v>
      </c>
      <c r="O30">
        <v>10</v>
      </c>
      <c r="P30">
        <v>0</v>
      </c>
      <c r="Q30">
        <v>0</v>
      </c>
      <c r="R30" s="2">
        <v>0</v>
      </c>
      <c r="S30" s="46">
        <v>78</v>
      </c>
      <c r="T30" s="46">
        <v>1</v>
      </c>
      <c r="U30" s="46">
        <v>0</v>
      </c>
      <c r="V30" s="46">
        <v>1</v>
      </c>
      <c r="W30">
        <v>0</v>
      </c>
      <c r="X30">
        <v>3.5</v>
      </c>
      <c r="Y30">
        <v>4.0999999999999996</v>
      </c>
      <c r="Z30" s="31">
        <v>3.6</v>
      </c>
      <c r="AA30" s="31">
        <v>4.3</v>
      </c>
      <c r="AB30" s="49">
        <v>3.875</v>
      </c>
      <c r="AC30" s="46">
        <v>72</v>
      </c>
      <c r="AD30" s="46">
        <v>1</v>
      </c>
      <c r="AE30" s="46">
        <v>0</v>
      </c>
      <c r="AF30">
        <v>0</v>
      </c>
      <c r="AG30">
        <v>3.9</v>
      </c>
      <c r="AH30">
        <v>3.9</v>
      </c>
      <c r="AI30" s="31">
        <v>4.4000000000000004</v>
      </c>
      <c r="AJ30" s="31">
        <v>4</v>
      </c>
      <c r="AK30" s="49">
        <v>4.05</v>
      </c>
      <c r="AL30" s="54"/>
      <c r="AM30" s="54"/>
      <c r="AN30" s="54"/>
      <c r="AO30" s="54"/>
      <c r="AP30" s="54"/>
      <c r="AQ30" s="54"/>
      <c r="AR30" s="56"/>
      <c r="AS30" s="56"/>
      <c r="AT30" s="57" t="e">
        <v>#DIV/0!</v>
      </c>
      <c r="AU30" s="1">
        <v>0</v>
      </c>
      <c r="AV30" s="1">
        <v>0</v>
      </c>
      <c r="AW30">
        <v>0</v>
      </c>
      <c r="AX30">
        <v>1</v>
      </c>
      <c r="AY30">
        <v>0</v>
      </c>
      <c r="AZ30" s="3">
        <v>6</v>
      </c>
      <c r="BA30" s="3">
        <v>78</v>
      </c>
      <c r="BD30" s="35">
        <v>4.3</v>
      </c>
      <c r="BE30" s="31">
        <v>4.3</v>
      </c>
      <c r="BF30" s="7">
        <v>4.3</v>
      </c>
      <c r="BG30" s="7">
        <v>4.5</v>
      </c>
      <c r="BI30">
        <f t="shared" si="0"/>
        <v>-6</v>
      </c>
      <c r="BJ30">
        <f t="shared" si="1"/>
        <v>0</v>
      </c>
      <c r="BK30">
        <f t="shared" si="2"/>
        <v>0</v>
      </c>
      <c r="BL30" s="53">
        <f t="shared" si="3"/>
        <v>0.17499999999999982</v>
      </c>
      <c r="BM30" s="54"/>
      <c r="BN30" s="54"/>
      <c r="BO30" s="54"/>
      <c r="BP30" s="55"/>
      <c r="BQ30" s="54"/>
      <c r="BR30" s="54"/>
      <c r="BS30" s="54"/>
      <c r="BT30" s="55"/>
    </row>
    <row r="31" spans="1:72" x14ac:dyDescent="0.2">
      <c r="A31" t="s">
        <v>40</v>
      </c>
      <c r="B31">
        <v>15</v>
      </c>
      <c r="C31" s="2">
        <v>1</v>
      </c>
      <c r="D31">
        <v>0</v>
      </c>
      <c r="E31">
        <v>0</v>
      </c>
      <c r="F31">
        <v>1</v>
      </c>
      <c r="G31">
        <v>1</v>
      </c>
      <c r="H31" s="42">
        <v>75</v>
      </c>
      <c r="I31" s="42">
        <v>175</v>
      </c>
      <c r="J31">
        <v>21.871111111111109</v>
      </c>
      <c r="K31">
        <v>22</v>
      </c>
      <c r="L31" s="42">
        <v>1</v>
      </c>
      <c r="M31" t="s">
        <v>12</v>
      </c>
      <c r="N31">
        <v>11</v>
      </c>
      <c r="O31">
        <v>10</v>
      </c>
      <c r="P31">
        <v>0</v>
      </c>
      <c r="Q31">
        <v>0</v>
      </c>
      <c r="R31" s="2">
        <v>0</v>
      </c>
      <c r="S31" s="46">
        <v>78</v>
      </c>
      <c r="T31" s="46">
        <v>0</v>
      </c>
      <c r="U31" s="46">
        <v>0</v>
      </c>
      <c r="V31" s="46">
        <v>1</v>
      </c>
      <c r="W31">
        <v>0</v>
      </c>
      <c r="X31">
        <v>3.7</v>
      </c>
      <c r="Y31">
        <v>3.6</v>
      </c>
      <c r="Z31" s="31">
        <v>3.8</v>
      </c>
      <c r="AA31" s="31">
        <v>3.8</v>
      </c>
      <c r="AB31" s="49">
        <v>3.7250000000000005</v>
      </c>
      <c r="AC31" s="46">
        <v>54</v>
      </c>
      <c r="AD31" s="46">
        <v>1</v>
      </c>
      <c r="AE31" s="46">
        <v>0</v>
      </c>
      <c r="AF31">
        <v>0</v>
      </c>
      <c r="AG31">
        <v>4.4000000000000004</v>
      </c>
      <c r="AH31">
        <v>4.2</v>
      </c>
      <c r="AI31" s="31">
        <v>4.4000000000000004</v>
      </c>
      <c r="AJ31" s="31">
        <v>4.5</v>
      </c>
      <c r="AK31" s="49">
        <v>4.375</v>
      </c>
      <c r="AL31" s="54"/>
      <c r="AM31" s="54"/>
      <c r="AN31" s="54"/>
      <c r="AO31" s="54"/>
      <c r="AP31" s="54"/>
      <c r="AQ31" s="54"/>
      <c r="AR31" s="56"/>
      <c r="AS31" s="56"/>
      <c r="AT31" s="57" t="e">
        <v>#DIV/0!</v>
      </c>
      <c r="AU31" s="1">
        <v>0</v>
      </c>
      <c r="AV31" s="1">
        <v>0</v>
      </c>
      <c r="AW31">
        <v>0</v>
      </c>
      <c r="AX31">
        <v>1</v>
      </c>
      <c r="AY31">
        <v>1</v>
      </c>
      <c r="AZ31" s="3">
        <v>24</v>
      </c>
      <c r="BA31" s="3">
        <v>78</v>
      </c>
      <c r="BD31" s="35">
        <v>4.4000000000000004</v>
      </c>
      <c r="BE31" s="31">
        <v>4.4000000000000004</v>
      </c>
      <c r="BF31" s="7">
        <v>4.4000000000000004</v>
      </c>
      <c r="BG31" s="7">
        <v>4.8</v>
      </c>
      <c r="BI31">
        <f t="shared" si="0"/>
        <v>-24</v>
      </c>
      <c r="BJ31">
        <f t="shared" si="1"/>
        <v>1</v>
      </c>
      <c r="BK31">
        <f t="shared" si="2"/>
        <v>0</v>
      </c>
      <c r="BL31" s="53">
        <f t="shared" si="3"/>
        <v>0.64999999999999947</v>
      </c>
      <c r="BM31" s="54"/>
      <c r="BN31" s="54"/>
      <c r="BO31" s="54"/>
      <c r="BP31" s="55"/>
      <c r="BQ31" s="54"/>
      <c r="BR31" s="54"/>
      <c r="BS31" s="54"/>
      <c r="BT31" s="55"/>
    </row>
    <row r="32" spans="1:72" x14ac:dyDescent="0.2">
      <c r="A32" t="s">
        <v>39</v>
      </c>
      <c r="B32">
        <v>16</v>
      </c>
      <c r="C32" s="2">
        <v>1</v>
      </c>
      <c r="D32">
        <v>1</v>
      </c>
      <c r="E32">
        <v>1</v>
      </c>
      <c r="F32">
        <v>0</v>
      </c>
      <c r="G32">
        <v>1</v>
      </c>
      <c r="H32" s="42">
        <v>81</v>
      </c>
      <c r="I32" s="42">
        <v>240</v>
      </c>
      <c r="J32">
        <v>25.715592135345226</v>
      </c>
      <c r="K32">
        <v>19</v>
      </c>
      <c r="L32" s="42">
        <v>2</v>
      </c>
      <c r="M32" t="s">
        <v>0</v>
      </c>
      <c r="N32">
        <v>12</v>
      </c>
      <c r="O32">
        <v>12</v>
      </c>
      <c r="P32">
        <v>1</v>
      </c>
      <c r="Q32">
        <v>0</v>
      </c>
      <c r="R32" s="2">
        <v>1</v>
      </c>
      <c r="S32" s="46">
        <v>86</v>
      </c>
      <c r="T32" s="46">
        <v>0</v>
      </c>
      <c r="U32" s="46">
        <v>0</v>
      </c>
      <c r="V32" s="46">
        <v>0</v>
      </c>
      <c r="W32">
        <v>1</v>
      </c>
      <c r="X32" s="7">
        <v>4.3</v>
      </c>
      <c r="Y32" s="7">
        <v>4.5</v>
      </c>
      <c r="Z32" s="31">
        <v>4.3</v>
      </c>
      <c r="AA32" s="31">
        <v>4.4000000000000004</v>
      </c>
      <c r="AB32" s="49">
        <v>4.375</v>
      </c>
      <c r="AC32" s="46">
        <v>59</v>
      </c>
      <c r="AD32" s="46">
        <v>1</v>
      </c>
      <c r="AE32" s="46">
        <v>1</v>
      </c>
      <c r="AF32">
        <v>0</v>
      </c>
      <c r="AG32">
        <v>4.5999999999999996</v>
      </c>
      <c r="AH32">
        <v>4.7</v>
      </c>
      <c r="AI32" s="31">
        <v>4.7</v>
      </c>
      <c r="AJ32" s="31">
        <v>5</v>
      </c>
      <c r="AK32" s="49">
        <v>4.75</v>
      </c>
      <c r="AL32" s="50">
        <v>50</v>
      </c>
      <c r="AM32" s="46">
        <v>1</v>
      </c>
      <c r="AN32" s="46">
        <v>1</v>
      </c>
      <c r="AO32">
        <v>0</v>
      </c>
      <c r="AP32">
        <v>5.4</v>
      </c>
      <c r="AQ32">
        <v>5.8</v>
      </c>
      <c r="AR32" s="31">
        <v>5.5</v>
      </c>
      <c r="AS32" s="31">
        <v>6.2</v>
      </c>
      <c r="AT32" s="52">
        <v>5.7249999999999996</v>
      </c>
      <c r="AU32" s="1">
        <v>1</v>
      </c>
      <c r="AV32" s="1">
        <v>0</v>
      </c>
      <c r="AW32">
        <v>0</v>
      </c>
      <c r="AX32">
        <v>1</v>
      </c>
      <c r="AY32">
        <v>1</v>
      </c>
      <c r="AZ32">
        <v>27</v>
      </c>
      <c r="BA32">
        <v>36</v>
      </c>
      <c r="BB32">
        <v>1</v>
      </c>
      <c r="BC32">
        <v>0</v>
      </c>
      <c r="BD32" s="1">
        <v>3.8</v>
      </c>
      <c r="BE32" s="31">
        <v>3.9</v>
      </c>
      <c r="BF32">
        <v>3.8</v>
      </c>
      <c r="BG32">
        <v>3.8</v>
      </c>
      <c r="BI32">
        <f t="shared" si="0"/>
        <v>-27</v>
      </c>
      <c r="BJ32">
        <f t="shared" si="1"/>
        <v>1</v>
      </c>
      <c r="BK32">
        <f t="shared" si="2"/>
        <v>1</v>
      </c>
      <c r="BL32" s="53">
        <f t="shared" si="3"/>
        <v>0.375</v>
      </c>
      <c r="BM32">
        <f t="shared" si="4"/>
        <v>-9</v>
      </c>
      <c r="BN32">
        <f t="shared" si="5"/>
        <v>0</v>
      </c>
      <c r="BO32">
        <f t="shared" si="6"/>
        <v>0</v>
      </c>
      <c r="BP32" s="53">
        <f t="shared" si="7"/>
        <v>0.97499999999999964</v>
      </c>
      <c r="BQ32">
        <f t="shared" si="8"/>
        <v>-36</v>
      </c>
      <c r="BR32">
        <f t="shared" si="9"/>
        <v>1</v>
      </c>
      <c r="BS32">
        <f t="shared" si="10"/>
        <v>1</v>
      </c>
      <c r="BT32" s="53">
        <f t="shared" si="11"/>
        <v>1.3499999999999996</v>
      </c>
    </row>
    <row r="33" spans="1:96" x14ac:dyDescent="0.2">
      <c r="A33" t="s">
        <v>38</v>
      </c>
      <c r="B33">
        <v>16</v>
      </c>
      <c r="C33" s="2">
        <v>1</v>
      </c>
      <c r="D33">
        <v>1</v>
      </c>
      <c r="E33">
        <v>1</v>
      </c>
      <c r="F33">
        <v>0</v>
      </c>
      <c r="G33">
        <v>1</v>
      </c>
      <c r="H33" s="42">
        <v>81</v>
      </c>
      <c r="I33" s="42">
        <v>240</v>
      </c>
      <c r="J33">
        <v>25.715592135345226</v>
      </c>
      <c r="K33">
        <v>19</v>
      </c>
      <c r="L33" s="42">
        <v>2</v>
      </c>
      <c r="M33" t="s">
        <v>0</v>
      </c>
      <c r="N33">
        <v>12</v>
      </c>
      <c r="O33">
        <v>12</v>
      </c>
      <c r="P33">
        <v>1</v>
      </c>
      <c r="Q33">
        <v>0</v>
      </c>
      <c r="R33" s="2">
        <v>1</v>
      </c>
      <c r="S33" s="46">
        <v>86</v>
      </c>
      <c r="T33" s="46">
        <v>0</v>
      </c>
      <c r="U33" s="46">
        <v>0</v>
      </c>
      <c r="V33" s="46">
        <v>0</v>
      </c>
      <c r="W33">
        <v>1</v>
      </c>
      <c r="X33" s="7">
        <v>4.4000000000000004</v>
      </c>
      <c r="Y33" s="7">
        <v>4.8</v>
      </c>
      <c r="Z33" s="31">
        <v>4.4000000000000004</v>
      </c>
      <c r="AA33" s="31">
        <v>4.8</v>
      </c>
      <c r="AB33" s="49">
        <v>4.5999999999999996</v>
      </c>
      <c r="AC33" s="46">
        <v>59</v>
      </c>
      <c r="AD33" s="46">
        <v>1</v>
      </c>
      <c r="AE33" s="46">
        <v>1</v>
      </c>
      <c r="AF33">
        <v>1</v>
      </c>
      <c r="AG33" s="7">
        <v>4.9000000000000004</v>
      </c>
      <c r="AH33" s="7">
        <v>4.9000000000000004</v>
      </c>
      <c r="AI33" s="31">
        <v>5.0999999999999996</v>
      </c>
      <c r="AJ33" s="31">
        <v>5.7</v>
      </c>
      <c r="AK33" s="49">
        <v>5.15</v>
      </c>
      <c r="AL33" s="46">
        <v>94</v>
      </c>
      <c r="AM33" s="46">
        <v>1</v>
      </c>
      <c r="AN33" s="46">
        <v>0</v>
      </c>
      <c r="AO33">
        <v>1</v>
      </c>
      <c r="AP33" s="7">
        <v>5.8</v>
      </c>
      <c r="AQ33" s="7">
        <v>5.5</v>
      </c>
      <c r="AR33" s="31">
        <v>5.9</v>
      </c>
      <c r="AS33" s="31">
        <v>5.3</v>
      </c>
      <c r="AT33" s="52">
        <v>5.6250000000000009</v>
      </c>
      <c r="AU33" s="1">
        <v>1</v>
      </c>
      <c r="AV33" s="1">
        <v>0</v>
      </c>
      <c r="AW33">
        <v>0</v>
      </c>
      <c r="AX33">
        <v>1</v>
      </c>
      <c r="AY33">
        <v>1</v>
      </c>
      <c r="AZ33">
        <v>27</v>
      </c>
      <c r="BA33">
        <v>-8</v>
      </c>
      <c r="BB33">
        <v>1</v>
      </c>
      <c r="BC33">
        <v>1</v>
      </c>
      <c r="BD33" s="9">
        <v>5.7</v>
      </c>
      <c r="BE33" s="32">
        <v>5.9</v>
      </c>
      <c r="BF33" s="8">
        <v>5.7</v>
      </c>
      <c r="BG33" s="8">
        <v>5</v>
      </c>
      <c r="BI33">
        <f t="shared" si="0"/>
        <v>-27</v>
      </c>
      <c r="BJ33">
        <f t="shared" si="1"/>
        <v>1</v>
      </c>
      <c r="BK33">
        <f t="shared" si="2"/>
        <v>1</v>
      </c>
      <c r="BL33" s="53">
        <f t="shared" si="3"/>
        <v>0.55000000000000071</v>
      </c>
      <c r="BM33">
        <f t="shared" si="4"/>
        <v>35</v>
      </c>
      <c r="BN33">
        <f t="shared" si="5"/>
        <v>0</v>
      </c>
      <c r="BO33">
        <f t="shared" si="6"/>
        <v>-1</v>
      </c>
      <c r="BP33" s="53">
        <f t="shared" si="7"/>
        <v>0.47500000000000053</v>
      </c>
      <c r="BQ33">
        <f t="shared" si="8"/>
        <v>8</v>
      </c>
      <c r="BR33">
        <f t="shared" si="9"/>
        <v>1</v>
      </c>
      <c r="BS33">
        <f t="shared" si="10"/>
        <v>0</v>
      </c>
      <c r="BT33" s="53">
        <f t="shared" si="11"/>
        <v>1.0250000000000012</v>
      </c>
    </row>
    <row r="34" spans="1:96" x14ac:dyDescent="0.2">
      <c r="A34" t="s">
        <v>37</v>
      </c>
      <c r="B34">
        <v>17</v>
      </c>
      <c r="C34" s="2">
        <v>1</v>
      </c>
      <c r="D34">
        <v>1</v>
      </c>
      <c r="E34">
        <v>0</v>
      </c>
      <c r="F34">
        <v>1</v>
      </c>
      <c r="G34">
        <v>1</v>
      </c>
      <c r="H34" s="42">
        <v>76</v>
      </c>
      <c r="I34" s="42">
        <v>195</v>
      </c>
      <c r="J34">
        <v>23.733552631578945</v>
      </c>
      <c r="K34">
        <v>19</v>
      </c>
      <c r="L34" s="42">
        <v>2</v>
      </c>
      <c r="M34" t="s">
        <v>0</v>
      </c>
      <c r="N34">
        <v>7</v>
      </c>
      <c r="O34">
        <v>5</v>
      </c>
      <c r="P34">
        <v>0</v>
      </c>
      <c r="Q34">
        <v>0</v>
      </c>
      <c r="R34">
        <v>0</v>
      </c>
      <c r="S34" s="46">
        <v>67</v>
      </c>
      <c r="T34" s="46">
        <v>0</v>
      </c>
      <c r="U34" s="46">
        <v>0</v>
      </c>
      <c r="V34" s="46">
        <v>1</v>
      </c>
      <c r="W34">
        <v>0</v>
      </c>
      <c r="X34">
        <v>3.8</v>
      </c>
      <c r="Y34">
        <v>3.8</v>
      </c>
      <c r="Z34" s="31">
        <v>3.9</v>
      </c>
      <c r="AA34" s="31">
        <v>4.0999999999999996</v>
      </c>
      <c r="AB34" s="49">
        <v>3.9</v>
      </c>
      <c r="AC34" s="46">
        <v>68</v>
      </c>
      <c r="AD34" s="46">
        <v>1</v>
      </c>
      <c r="AE34" s="46">
        <v>0</v>
      </c>
      <c r="AF34">
        <v>1</v>
      </c>
      <c r="AG34" s="7">
        <v>5.2</v>
      </c>
      <c r="AH34" s="7">
        <v>4.9000000000000004</v>
      </c>
      <c r="AI34" s="31">
        <v>5.0999999999999996</v>
      </c>
      <c r="AJ34" s="31">
        <v>5.5</v>
      </c>
      <c r="AK34" s="49">
        <v>5.1750000000000007</v>
      </c>
      <c r="AL34" s="46">
        <v>61</v>
      </c>
      <c r="AM34" s="46">
        <v>0</v>
      </c>
      <c r="AN34" s="46">
        <v>0</v>
      </c>
      <c r="AO34">
        <v>1</v>
      </c>
      <c r="AP34" s="7">
        <v>5.5</v>
      </c>
      <c r="AQ34" s="7">
        <v>5.2</v>
      </c>
      <c r="AR34" s="31">
        <v>5.5</v>
      </c>
      <c r="AS34" s="31">
        <v>5.5</v>
      </c>
      <c r="AT34" s="52">
        <v>5.4249999999999998</v>
      </c>
      <c r="AU34" s="1">
        <v>0</v>
      </c>
      <c r="AV34" s="1">
        <v>0</v>
      </c>
      <c r="AW34">
        <v>0</v>
      </c>
      <c r="AX34">
        <v>1</v>
      </c>
      <c r="AY34">
        <v>1</v>
      </c>
      <c r="AZ34">
        <v>-1</v>
      </c>
      <c r="BA34">
        <v>6</v>
      </c>
      <c r="BB34">
        <v>0</v>
      </c>
      <c r="BC34">
        <v>1</v>
      </c>
      <c r="BD34" s="1">
        <v>4.7</v>
      </c>
      <c r="BE34" s="31">
        <v>4.3</v>
      </c>
      <c r="BF34">
        <v>4.7</v>
      </c>
      <c r="BG34">
        <v>4.8</v>
      </c>
      <c r="BI34">
        <f t="shared" si="0"/>
        <v>1</v>
      </c>
      <c r="BJ34">
        <f t="shared" si="1"/>
        <v>1</v>
      </c>
      <c r="BK34">
        <f t="shared" si="2"/>
        <v>0</v>
      </c>
      <c r="BL34" s="53">
        <f t="shared" si="3"/>
        <v>1.2750000000000008</v>
      </c>
      <c r="BM34">
        <f t="shared" si="4"/>
        <v>-7</v>
      </c>
      <c r="BN34">
        <f t="shared" si="5"/>
        <v>-1</v>
      </c>
      <c r="BO34">
        <f t="shared" si="6"/>
        <v>0</v>
      </c>
      <c r="BP34" s="53">
        <f t="shared" si="7"/>
        <v>0.24999999999999911</v>
      </c>
      <c r="BQ34">
        <f t="shared" si="8"/>
        <v>-6</v>
      </c>
      <c r="BR34">
        <f t="shared" si="9"/>
        <v>0</v>
      </c>
      <c r="BS34">
        <f t="shared" si="10"/>
        <v>0</v>
      </c>
      <c r="BT34" s="53">
        <f t="shared" si="11"/>
        <v>1.5249999999999999</v>
      </c>
    </row>
    <row r="35" spans="1:96" x14ac:dyDescent="0.2">
      <c r="A35" s="8" t="s">
        <v>36</v>
      </c>
      <c r="B35">
        <v>17</v>
      </c>
      <c r="C35" s="2">
        <v>1</v>
      </c>
      <c r="D35">
        <v>1</v>
      </c>
      <c r="E35">
        <v>0</v>
      </c>
      <c r="F35">
        <v>1</v>
      </c>
      <c r="G35" s="8">
        <v>1</v>
      </c>
      <c r="H35" s="43">
        <v>76</v>
      </c>
      <c r="I35" s="43">
        <v>195</v>
      </c>
      <c r="J35">
        <v>23.733552631578945</v>
      </c>
      <c r="K35" s="8">
        <v>19</v>
      </c>
      <c r="L35" s="43">
        <v>2</v>
      </c>
      <c r="M35" s="8" t="s">
        <v>0</v>
      </c>
      <c r="N35" s="8">
        <v>7</v>
      </c>
      <c r="O35" s="8">
        <v>5</v>
      </c>
      <c r="P35" s="8">
        <v>0</v>
      </c>
      <c r="Q35" s="8">
        <v>0</v>
      </c>
      <c r="R35" s="10">
        <v>0</v>
      </c>
      <c r="S35" s="47">
        <v>70</v>
      </c>
      <c r="T35" s="47">
        <v>0</v>
      </c>
      <c r="U35" s="47">
        <v>1</v>
      </c>
      <c r="V35" s="47">
        <v>1</v>
      </c>
      <c r="W35" s="8">
        <v>0</v>
      </c>
      <c r="X35" s="8">
        <v>5.7</v>
      </c>
      <c r="Y35" s="8">
        <v>5</v>
      </c>
      <c r="Z35" s="32">
        <v>5.9</v>
      </c>
      <c r="AA35" s="32">
        <v>4.9000000000000004</v>
      </c>
      <c r="AB35" s="49">
        <v>5.375</v>
      </c>
      <c r="AC35" s="47">
        <v>75</v>
      </c>
      <c r="AD35" s="47">
        <v>0</v>
      </c>
      <c r="AE35" s="47">
        <v>0</v>
      </c>
      <c r="AF35" s="8">
        <v>0</v>
      </c>
      <c r="AG35" s="8">
        <v>4.4000000000000004</v>
      </c>
      <c r="AH35" s="8">
        <v>4.5</v>
      </c>
      <c r="AI35" s="32">
        <v>3.9</v>
      </c>
      <c r="AJ35" s="32">
        <v>4.5</v>
      </c>
      <c r="AK35" s="49">
        <v>4.3250000000000002</v>
      </c>
      <c r="AL35" s="47">
        <v>65</v>
      </c>
      <c r="AM35" s="47">
        <v>0</v>
      </c>
      <c r="AN35" s="47">
        <v>0</v>
      </c>
      <c r="AO35" s="8">
        <v>1</v>
      </c>
      <c r="AP35" s="12">
        <v>5.4</v>
      </c>
      <c r="AQ35" s="12">
        <v>5.4</v>
      </c>
      <c r="AR35" s="32">
        <v>5.5</v>
      </c>
      <c r="AS35" s="32">
        <v>5.5</v>
      </c>
      <c r="AT35" s="52">
        <v>5.45</v>
      </c>
      <c r="AU35" s="9">
        <v>0</v>
      </c>
      <c r="AV35" s="9">
        <v>0</v>
      </c>
      <c r="AW35">
        <v>0</v>
      </c>
      <c r="AX35" s="8">
        <v>1</v>
      </c>
      <c r="AY35" s="8">
        <v>1</v>
      </c>
      <c r="AZ35">
        <v>-5</v>
      </c>
      <c r="BA35">
        <v>5</v>
      </c>
      <c r="BB35" s="8">
        <v>0</v>
      </c>
      <c r="BC35">
        <v>1</v>
      </c>
      <c r="BD35" s="1">
        <v>5</v>
      </c>
      <c r="BE35" s="31">
        <v>4.9000000000000004</v>
      </c>
      <c r="BF35">
        <v>5</v>
      </c>
      <c r="BG35">
        <v>5</v>
      </c>
      <c r="BI35">
        <f t="shared" si="0"/>
        <v>5</v>
      </c>
      <c r="BJ35">
        <f t="shared" si="1"/>
        <v>0</v>
      </c>
      <c r="BK35">
        <f t="shared" si="2"/>
        <v>-1</v>
      </c>
      <c r="BL35" s="53">
        <f t="shared" si="3"/>
        <v>-1.0499999999999998</v>
      </c>
      <c r="BM35">
        <f t="shared" si="4"/>
        <v>-10</v>
      </c>
      <c r="BN35">
        <f t="shared" si="5"/>
        <v>0</v>
      </c>
      <c r="BO35">
        <f t="shared" si="6"/>
        <v>0</v>
      </c>
      <c r="BP35" s="53">
        <f t="shared" si="7"/>
        <v>1.125</v>
      </c>
      <c r="BQ35">
        <f t="shared" si="8"/>
        <v>-5</v>
      </c>
      <c r="BR35">
        <f t="shared" si="9"/>
        <v>0</v>
      </c>
      <c r="BS35">
        <f t="shared" si="10"/>
        <v>-1</v>
      </c>
      <c r="BT35" s="53">
        <f t="shared" si="11"/>
        <v>7.5000000000000178E-2</v>
      </c>
    </row>
    <row r="36" spans="1:96" s="8" customFormat="1" x14ac:dyDescent="0.2">
      <c r="A36" t="s">
        <v>35</v>
      </c>
      <c r="B36">
        <v>18</v>
      </c>
      <c r="C36" s="2">
        <v>2</v>
      </c>
      <c r="D36">
        <v>1</v>
      </c>
      <c r="E36">
        <v>1</v>
      </c>
      <c r="F36">
        <v>1</v>
      </c>
      <c r="G36">
        <v>1</v>
      </c>
      <c r="H36" s="42">
        <v>79</v>
      </c>
      <c r="I36" s="42">
        <v>205</v>
      </c>
      <c r="J36">
        <v>23.091651978849544</v>
      </c>
      <c r="K36">
        <v>21</v>
      </c>
      <c r="L36" s="42">
        <v>1</v>
      </c>
      <c r="M36" t="s">
        <v>5</v>
      </c>
      <c r="N36">
        <v>15</v>
      </c>
      <c r="O36">
        <v>11</v>
      </c>
      <c r="P36">
        <v>0</v>
      </c>
      <c r="Q36">
        <v>0</v>
      </c>
      <c r="R36" s="2">
        <v>0</v>
      </c>
      <c r="S36" s="46">
        <v>100</v>
      </c>
      <c r="T36" s="46">
        <v>0</v>
      </c>
      <c r="U36" s="46">
        <v>0</v>
      </c>
      <c r="V36" s="46">
        <v>0</v>
      </c>
      <c r="W36">
        <v>0</v>
      </c>
      <c r="X36">
        <v>4.7</v>
      </c>
      <c r="Y36">
        <v>4.8</v>
      </c>
      <c r="Z36" s="31">
        <v>4.3</v>
      </c>
      <c r="AA36" s="31">
        <v>4.4000000000000004</v>
      </c>
      <c r="AB36" s="49">
        <v>4.5500000000000007</v>
      </c>
      <c r="AC36" s="46">
        <v>100</v>
      </c>
      <c r="AD36" s="46">
        <v>0</v>
      </c>
      <c r="AE36" s="46">
        <v>0</v>
      </c>
      <c r="AF36">
        <v>0</v>
      </c>
      <c r="AG36">
        <v>4.5</v>
      </c>
      <c r="AH36">
        <v>4.8</v>
      </c>
      <c r="AI36" s="31">
        <v>4.5999999999999996</v>
      </c>
      <c r="AJ36" s="31">
        <v>4.5999999999999996</v>
      </c>
      <c r="AK36" s="49">
        <v>4.625</v>
      </c>
      <c r="AL36" s="46">
        <v>99</v>
      </c>
      <c r="AM36" s="46">
        <v>0</v>
      </c>
      <c r="AN36" s="46">
        <v>0</v>
      </c>
      <c r="AO36">
        <v>0</v>
      </c>
      <c r="AP36">
        <v>4.2</v>
      </c>
      <c r="AQ36">
        <v>4.5</v>
      </c>
      <c r="AR36" s="31">
        <v>4</v>
      </c>
      <c r="AS36" s="31">
        <v>4.2</v>
      </c>
      <c r="AT36" s="52">
        <v>4.2249999999999996</v>
      </c>
      <c r="AU36" s="1">
        <v>0</v>
      </c>
      <c r="AV36" s="1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 s="35">
        <v>6.9</v>
      </c>
      <c r="BE36" s="31">
        <v>6.7</v>
      </c>
      <c r="BF36" s="7">
        <v>6.9</v>
      </c>
      <c r="BG36" s="7">
        <v>5.7</v>
      </c>
      <c r="BH36"/>
      <c r="BI36">
        <f t="shared" si="0"/>
        <v>0</v>
      </c>
      <c r="BJ36">
        <f t="shared" si="1"/>
        <v>0</v>
      </c>
      <c r="BK36">
        <f t="shared" si="2"/>
        <v>0</v>
      </c>
      <c r="BL36" s="53">
        <f t="shared" si="3"/>
        <v>7.4999999999999289E-2</v>
      </c>
      <c r="BM36">
        <f t="shared" si="4"/>
        <v>-1</v>
      </c>
      <c r="BN36">
        <f t="shared" si="5"/>
        <v>0</v>
      </c>
      <c r="BO36">
        <f t="shared" si="6"/>
        <v>0</v>
      </c>
      <c r="BP36" s="53">
        <f t="shared" si="7"/>
        <v>-0.40000000000000036</v>
      </c>
      <c r="BQ36">
        <f t="shared" si="8"/>
        <v>-1</v>
      </c>
      <c r="BR36">
        <f t="shared" si="9"/>
        <v>0</v>
      </c>
      <c r="BS36">
        <f t="shared" si="10"/>
        <v>0</v>
      </c>
      <c r="BT36" s="53">
        <f t="shared" si="11"/>
        <v>-0.32500000000000107</v>
      </c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</row>
    <row r="37" spans="1:96" x14ac:dyDescent="0.2">
      <c r="A37" t="s">
        <v>34</v>
      </c>
      <c r="B37">
        <v>18</v>
      </c>
      <c r="C37" s="2">
        <v>2</v>
      </c>
      <c r="D37">
        <v>1</v>
      </c>
      <c r="E37">
        <v>1</v>
      </c>
      <c r="F37">
        <v>1</v>
      </c>
      <c r="G37">
        <v>1</v>
      </c>
      <c r="H37" s="42">
        <v>79</v>
      </c>
      <c r="I37" s="42">
        <v>205</v>
      </c>
      <c r="J37">
        <v>23.091651978849544</v>
      </c>
      <c r="K37">
        <v>21</v>
      </c>
      <c r="L37" s="42">
        <v>1</v>
      </c>
      <c r="M37" t="s">
        <v>5</v>
      </c>
      <c r="N37">
        <v>15</v>
      </c>
      <c r="O37">
        <v>11</v>
      </c>
      <c r="P37">
        <v>0</v>
      </c>
      <c r="Q37">
        <v>0</v>
      </c>
      <c r="R37" s="2">
        <v>0</v>
      </c>
      <c r="S37" s="46">
        <v>100</v>
      </c>
      <c r="T37" s="46">
        <v>0</v>
      </c>
      <c r="U37" s="46">
        <v>0</v>
      </c>
      <c r="V37" s="46">
        <v>0</v>
      </c>
      <c r="W37">
        <v>0</v>
      </c>
      <c r="X37">
        <v>5</v>
      </c>
      <c r="Y37">
        <v>5</v>
      </c>
      <c r="Z37" s="31">
        <v>4.9000000000000004</v>
      </c>
      <c r="AA37" s="31">
        <v>5</v>
      </c>
      <c r="AB37" s="49">
        <v>4.9749999999999996</v>
      </c>
      <c r="AC37" s="46">
        <v>100</v>
      </c>
      <c r="AD37" s="46">
        <v>0</v>
      </c>
      <c r="AE37" s="46">
        <v>0</v>
      </c>
      <c r="AF37">
        <v>0</v>
      </c>
      <c r="AG37">
        <v>5.6</v>
      </c>
      <c r="AH37">
        <v>5.2</v>
      </c>
      <c r="AI37" s="31">
        <v>5.9</v>
      </c>
      <c r="AJ37" s="31">
        <v>5.3</v>
      </c>
      <c r="AK37" s="49">
        <v>5.5000000000000009</v>
      </c>
      <c r="AL37" s="46">
        <v>99</v>
      </c>
      <c r="AM37" s="46">
        <v>0</v>
      </c>
      <c r="AN37" s="46">
        <v>0</v>
      </c>
      <c r="AO37">
        <v>0</v>
      </c>
      <c r="AP37">
        <v>5.7</v>
      </c>
      <c r="AQ37">
        <v>5.0999999999999996</v>
      </c>
      <c r="AR37" s="31">
        <v>5.8</v>
      </c>
      <c r="AS37" s="31">
        <v>5.0999999999999996</v>
      </c>
      <c r="AT37" s="52">
        <v>5.4250000000000007</v>
      </c>
      <c r="AU37" s="1">
        <v>0</v>
      </c>
      <c r="AV37" s="1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 s="1">
        <v>3.5</v>
      </c>
      <c r="BE37" s="31">
        <v>3.5</v>
      </c>
      <c r="BF37">
        <v>3.5</v>
      </c>
      <c r="BG37">
        <v>3.7</v>
      </c>
      <c r="BI37">
        <f t="shared" si="0"/>
        <v>0</v>
      </c>
      <c r="BJ37">
        <f t="shared" si="1"/>
        <v>0</v>
      </c>
      <c r="BK37">
        <f t="shared" si="2"/>
        <v>0</v>
      </c>
      <c r="BL37" s="53">
        <f t="shared" si="3"/>
        <v>0.52500000000000124</v>
      </c>
      <c r="BM37">
        <f t="shared" si="4"/>
        <v>-1</v>
      </c>
      <c r="BN37">
        <f t="shared" si="5"/>
        <v>0</v>
      </c>
      <c r="BO37">
        <f t="shared" si="6"/>
        <v>0</v>
      </c>
      <c r="BP37" s="53">
        <f t="shared" si="7"/>
        <v>-7.5000000000000178E-2</v>
      </c>
      <c r="BQ37">
        <f t="shared" si="8"/>
        <v>-1</v>
      </c>
      <c r="BR37">
        <f t="shared" si="9"/>
        <v>0</v>
      </c>
      <c r="BS37">
        <f t="shared" si="10"/>
        <v>0</v>
      </c>
      <c r="BT37" s="53">
        <f t="shared" si="11"/>
        <v>0.45000000000000107</v>
      </c>
    </row>
    <row r="38" spans="1:96" x14ac:dyDescent="0.2">
      <c r="A38" t="s">
        <v>33</v>
      </c>
      <c r="B38">
        <v>19</v>
      </c>
      <c r="C38" s="2">
        <v>2</v>
      </c>
      <c r="D38">
        <v>1</v>
      </c>
      <c r="E38">
        <v>1</v>
      </c>
      <c r="F38">
        <v>0</v>
      </c>
      <c r="G38">
        <v>1</v>
      </c>
      <c r="H38" s="42">
        <v>81</v>
      </c>
      <c r="I38" s="42">
        <v>220</v>
      </c>
      <c r="J38">
        <v>23.572626124066453</v>
      </c>
      <c r="K38">
        <v>23</v>
      </c>
      <c r="L38" s="42">
        <v>2</v>
      </c>
      <c r="M38" t="s">
        <v>12</v>
      </c>
      <c r="N38" s="6"/>
      <c r="O38" s="6"/>
      <c r="P38">
        <v>0</v>
      </c>
      <c r="Q38">
        <v>0</v>
      </c>
      <c r="R38" s="2">
        <v>0</v>
      </c>
      <c r="S38" s="46">
        <v>100</v>
      </c>
      <c r="T38" s="46">
        <v>0</v>
      </c>
      <c r="U38" s="46">
        <v>0</v>
      </c>
      <c r="V38" s="46">
        <v>0</v>
      </c>
      <c r="W38">
        <v>1</v>
      </c>
      <c r="X38" s="7">
        <v>6.9</v>
      </c>
      <c r="Y38" s="7">
        <v>5.7</v>
      </c>
      <c r="Z38" s="31">
        <v>6.7</v>
      </c>
      <c r="AA38" s="31">
        <v>5.2</v>
      </c>
      <c r="AB38" s="49">
        <v>6.125</v>
      </c>
      <c r="AC38" s="46">
        <v>100</v>
      </c>
      <c r="AD38" s="46">
        <v>0</v>
      </c>
      <c r="AE38" s="46">
        <v>0</v>
      </c>
      <c r="AF38">
        <v>1</v>
      </c>
      <c r="AG38" s="4">
        <v>9.9</v>
      </c>
      <c r="AH38" s="4">
        <v>8.4</v>
      </c>
      <c r="AI38" s="31">
        <v>8.5</v>
      </c>
      <c r="AJ38" s="31">
        <v>10.3</v>
      </c>
      <c r="AK38" s="49">
        <v>9.2750000000000004</v>
      </c>
      <c r="AL38" s="46">
        <v>100</v>
      </c>
      <c r="AM38" s="46">
        <v>0</v>
      </c>
      <c r="AN38" s="46">
        <v>0</v>
      </c>
      <c r="AO38">
        <v>1</v>
      </c>
      <c r="AP38" s="4">
        <v>8.1</v>
      </c>
      <c r="AQ38" s="4">
        <v>8.1999999999999993</v>
      </c>
      <c r="AR38" s="31">
        <v>8.4</v>
      </c>
      <c r="AS38" s="31">
        <v>8.4</v>
      </c>
      <c r="AT38" s="52">
        <v>8.2749999999999986</v>
      </c>
      <c r="AU38" s="1">
        <v>1</v>
      </c>
      <c r="AV38" s="1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 s="1">
        <v>5.3</v>
      </c>
      <c r="BE38" s="34">
        <v>5.0999999999999996</v>
      </c>
      <c r="BF38">
        <v>5.3</v>
      </c>
      <c r="BG38">
        <v>5.8</v>
      </c>
      <c r="BI38">
        <f t="shared" si="0"/>
        <v>0</v>
      </c>
      <c r="BJ38">
        <f t="shared" si="1"/>
        <v>0</v>
      </c>
      <c r="BK38">
        <f t="shared" si="2"/>
        <v>0</v>
      </c>
      <c r="BL38" s="53">
        <f t="shared" si="3"/>
        <v>3.1500000000000004</v>
      </c>
      <c r="BM38">
        <f t="shared" si="4"/>
        <v>0</v>
      </c>
      <c r="BN38">
        <f t="shared" si="5"/>
        <v>0</v>
      </c>
      <c r="BO38">
        <f t="shared" si="6"/>
        <v>0</v>
      </c>
      <c r="BP38" s="53">
        <f t="shared" si="7"/>
        <v>-1.0000000000000018</v>
      </c>
      <c r="BQ38">
        <f t="shared" si="8"/>
        <v>0</v>
      </c>
      <c r="BR38">
        <f t="shared" si="9"/>
        <v>0</v>
      </c>
      <c r="BS38">
        <f t="shared" si="10"/>
        <v>0</v>
      </c>
      <c r="BT38" s="53">
        <f t="shared" si="11"/>
        <v>2.1499999999999986</v>
      </c>
    </row>
    <row r="39" spans="1:96" x14ac:dyDescent="0.2">
      <c r="A39" s="5" t="s">
        <v>32</v>
      </c>
      <c r="B39" s="5">
        <v>19</v>
      </c>
      <c r="C39" s="2">
        <v>2</v>
      </c>
      <c r="D39">
        <v>0</v>
      </c>
      <c r="E39">
        <v>0</v>
      </c>
      <c r="F39">
        <v>0</v>
      </c>
      <c r="G39">
        <v>1</v>
      </c>
      <c r="H39" s="42">
        <v>81</v>
      </c>
      <c r="I39" s="42">
        <v>220</v>
      </c>
      <c r="J39">
        <v>23.572626124066453</v>
      </c>
      <c r="K39">
        <v>23</v>
      </c>
      <c r="L39" s="42">
        <v>2</v>
      </c>
      <c r="M39" t="s">
        <v>12</v>
      </c>
      <c r="N39" s="6"/>
      <c r="O39" s="6"/>
      <c r="P39">
        <v>1</v>
      </c>
      <c r="Q39" s="5">
        <v>1</v>
      </c>
      <c r="R39" s="2">
        <v>0</v>
      </c>
      <c r="S39" s="46">
        <v>90</v>
      </c>
      <c r="T39" s="46">
        <v>0</v>
      </c>
      <c r="U39" s="46">
        <v>0</v>
      </c>
      <c r="V39" s="46">
        <v>0</v>
      </c>
      <c r="W39">
        <v>1</v>
      </c>
      <c r="X39" s="5">
        <v>12.3</v>
      </c>
      <c r="Y39" s="5">
        <v>12.2</v>
      </c>
      <c r="Z39" s="31">
        <v>13.5</v>
      </c>
      <c r="AA39" s="31">
        <v>13.1</v>
      </c>
      <c r="AB39" s="49">
        <v>12.775</v>
      </c>
      <c r="AC39" s="46">
        <v>77</v>
      </c>
      <c r="AD39" s="46">
        <v>0</v>
      </c>
      <c r="AE39" s="46">
        <v>0</v>
      </c>
      <c r="AF39">
        <v>1</v>
      </c>
      <c r="AG39" s="4">
        <v>14.2</v>
      </c>
      <c r="AH39" s="4">
        <v>14.5</v>
      </c>
      <c r="AI39" s="31">
        <v>13.1</v>
      </c>
      <c r="AJ39" s="31">
        <v>12.7</v>
      </c>
      <c r="AK39" s="49">
        <v>13.625</v>
      </c>
      <c r="AL39" s="46">
        <v>100</v>
      </c>
      <c r="AM39" s="46">
        <v>0</v>
      </c>
      <c r="AN39" s="46">
        <v>0</v>
      </c>
      <c r="AO39">
        <v>1</v>
      </c>
      <c r="AP39" s="4">
        <v>13.3</v>
      </c>
      <c r="AQ39" s="4">
        <v>12.8</v>
      </c>
      <c r="AR39" s="31">
        <v>13</v>
      </c>
      <c r="AS39" s="31">
        <v>13.3</v>
      </c>
      <c r="AT39" s="52">
        <v>13.100000000000001</v>
      </c>
      <c r="AU39" s="1">
        <v>1</v>
      </c>
      <c r="AV39" s="1">
        <v>1</v>
      </c>
      <c r="AW39">
        <v>0</v>
      </c>
      <c r="AX39">
        <v>1</v>
      </c>
      <c r="AY39">
        <v>0</v>
      </c>
      <c r="AZ39" s="5">
        <v>13</v>
      </c>
      <c r="BA39" s="5">
        <v>-10</v>
      </c>
      <c r="BB39">
        <v>1</v>
      </c>
      <c r="BC39">
        <v>1</v>
      </c>
      <c r="BD39" s="1">
        <v>7</v>
      </c>
      <c r="BE39" s="31">
        <v>6.3</v>
      </c>
      <c r="BF39">
        <v>7</v>
      </c>
      <c r="BG39">
        <v>7</v>
      </c>
      <c r="BI39">
        <f t="shared" si="0"/>
        <v>-13</v>
      </c>
      <c r="BJ39">
        <f t="shared" si="1"/>
        <v>0</v>
      </c>
      <c r="BK39">
        <f t="shared" si="2"/>
        <v>0</v>
      </c>
      <c r="BL39" s="53">
        <f t="shared" si="3"/>
        <v>0.84999999999999964</v>
      </c>
      <c r="BM39">
        <f t="shared" si="4"/>
        <v>23</v>
      </c>
      <c r="BN39">
        <f t="shared" si="5"/>
        <v>0</v>
      </c>
      <c r="BO39">
        <f t="shared" si="6"/>
        <v>0</v>
      </c>
      <c r="BP39" s="53">
        <f t="shared" si="7"/>
        <v>-0.52499999999999858</v>
      </c>
      <c r="BQ39">
        <f t="shared" si="8"/>
        <v>10</v>
      </c>
      <c r="BR39">
        <f t="shared" si="9"/>
        <v>0</v>
      </c>
      <c r="BS39">
        <f t="shared" si="10"/>
        <v>0</v>
      </c>
      <c r="BT39" s="53">
        <f t="shared" si="11"/>
        <v>0.32500000000000107</v>
      </c>
    </row>
    <row r="40" spans="1:96" x14ac:dyDescent="0.2">
      <c r="A40" t="s">
        <v>31</v>
      </c>
      <c r="B40">
        <v>20</v>
      </c>
      <c r="C40" s="2">
        <v>2</v>
      </c>
      <c r="D40">
        <v>1</v>
      </c>
      <c r="E40">
        <v>1</v>
      </c>
      <c r="F40">
        <v>1</v>
      </c>
      <c r="G40">
        <v>1</v>
      </c>
      <c r="H40" s="42">
        <v>73</v>
      </c>
      <c r="I40" s="42">
        <v>170</v>
      </c>
      <c r="J40">
        <v>22.426346406455245</v>
      </c>
      <c r="K40">
        <v>22</v>
      </c>
      <c r="L40" s="42">
        <v>1</v>
      </c>
      <c r="M40" t="s">
        <v>12</v>
      </c>
      <c r="N40">
        <v>15</v>
      </c>
      <c r="O40">
        <v>10</v>
      </c>
      <c r="P40">
        <v>0</v>
      </c>
      <c r="Q40">
        <v>0</v>
      </c>
      <c r="R40" s="2">
        <v>0</v>
      </c>
      <c r="S40" s="46">
        <v>100</v>
      </c>
      <c r="T40" s="46">
        <v>0</v>
      </c>
      <c r="U40" s="46">
        <v>0</v>
      </c>
      <c r="V40" s="46">
        <v>0</v>
      </c>
      <c r="W40">
        <v>0</v>
      </c>
      <c r="X40">
        <v>3.5</v>
      </c>
      <c r="Y40">
        <v>3.7</v>
      </c>
      <c r="Z40" s="31">
        <v>3.5</v>
      </c>
      <c r="AA40" s="31">
        <v>3.8</v>
      </c>
      <c r="AB40" s="49">
        <v>3.625</v>
      </c>
      <c r="AC40" s="46">
        <v>94</v>
      </c>
      <c r="AD40" s="46">
        <v>0</v>
      </c>
      <c r="AE40" s="46">
        <v>0</v>
      </c>
      <c r="AF40">
        <v>0</v>
      </c>
      <c r="AG40">
        <v>4</v>
      </c>
      <c r="AH40">
        <v>3.9</v>
      </c>
      <c r="AI40" s="31">
        <v>4</v>
      </c>
      <c r="AJ40" s="31">
        <v>3.9</v>
      </c>
      <c r="AK40" s="49">
        <v>3.95</v>
      </c>
      <c r="AL40" s="46">
        <v>100</v>
      </c>
      <c r="AM40" s="46">
        <v>0</v>
      </c>
      <c r="AN40" s="46">
        <v>0</v>
      </c>
      <c r="AO40">
        <v>0</v>
      </c>
      <c r="AP40">
        <v>3.6</v>
      </c>
      <c r="AQ40">
        <v>3.9</v>
      </c>
      <c r="AR40" s="31">
        <v>3.5</v>
      </c>
      <c r="AS40" s="31">
        <v>3.5</v>
      </c>
      <c r="AT40" s="52">
        <v>3.625</v>
      </c>
      <c r="AU40" s="1">
        <v>0</v>
      </c>
      <c r="AV40" s="1">
        <v>0</v>
      </c>
      <c r="AW40">
        <v>0</v>
      </c>
      <c r="AX40">
        <v>0</v>
      </c>
      <c r="AY40">
        <v>0</v>
      </c>
      <c r="AZ40">
        <v>6</v>
      </c>
      <c r="BA40">
        <v>0</v>
      </c>
      <c r="BB40">
        <v>0</v>
      </c>
      <c r="BC40">
        <v>0</v>
      </c>
      <c r="BD40" s="1">
        <v>6</v>
      </c>
      <c r="BE40" s="31">
        <v>6.1</v>
      </c>
      <c r="BF40">
        <v>6</v>
      </c>
      <c r="BG40">
        <v>5.6</v>
      </c>
      <c r="BI40">
        <f t="shared" si="0"/>
        <v>-6</v>
      </c>
      <c r="BJ40">
        <f t="shared" si="1"/>
        <v>0</v>
      </c>
      <c r="BK40">
        <f t="shared" si="2"/>
        <v>0</v>
      </c>
      <c r="BL40" s="53">
        <f t="shared" si="3"/>
        <v>0.32500000000000018</v>
      </c>
      <c r="BM40">
        <f t="shared" si="4"/>
        <v>6</v>
      </c>
      <c r="BN40">
        <f t="shared" si="5"/>
        <v>0</v>
      </c>
      <c r="BO40">
        <f t="shared" si="6"/>
        <v>0</v>
      </c>
      <c r="BP40" s="53">
        <f t="shared" si="7"/>
        <v>-0.32500000000000018</v>
      </c>
      <c r="BQ40">
        <f t="shared" si="8"/>
        <v>0</v>
      </c>
      <c r="BR40">
        <f t="shared" si="9"/>
        <v>0</v>
      </c>
      <c r="BS40">
        <f t="shared" si="10"/>
        <v>0</v>
      </c>
      <c r="BT40" s="53">
        <f t="shared" si="11"/>
        <v>0</v>
      </c>
    </row>
    <row r="41" spans="1:96" x14ac:dyDescent="0.2">
      <c r="A41" s="5" t="s">
        <v>30</v>
      </c>
      <c r="B41" s="5">
        <v>20</v>
      </c>
      <c r="C41" s="2">
        <v>2</v>
      </c>
      <c r="D41">
        <v>0</v>
      </c>
      <c r="E41">
        <v>0</v>
      </c>
      <c r="F41">
        <v>0</v>
      </c>
      <c r="G41">
        <v>1</v>
      </c>
      <c r="H41" s="42">
        <v>73</v>
      </c>
      <c r="I41" s="42">
        <v>170</v>
      </c>
      <c r="J41">
        <v>22.426346406455245</v>
      </c>
      <c r="K41">
        <v>22</v>
      </c>
      <c r="L41" s="42">
        <v>1</v>
      </c>
      <c r="M41" t="s">
        <v>12</v>
      </c>
      <c r="N41">
        <v>15</v>
      </c>
      <c r="O41">
        <v>10</v>
      </c>
      <c r="P41">
        <v>1</v>
      </c>
      <c r="Q41" s="5">
        <v>1</v>
      </c>
      <c r="R41" s="2">
        <v>0</v>
      </c>
      <c r="S41" s="46">
        <v>59</v>
      </c>
      <c r="T41" s="46">
        <v>0</v>
      </c>
      <c r="U41" s="46">
        <v>0</v>
      </c>
      <c r="V41" s="46">
        <v>1</v>
      </c>
      <c r="W41">
        <v>1</v>
      </c>
      <c r="X41" s="5">
        <v>10.6</v>
      </c>
      <c r="Y41" s="5">
        <v>10.3</v>
      </c>
      <c r="Z41" s="31">
        <v>10.5</v>
      </c>
      <c r="AA41" s="31">
        <v>10.6</v>
      </c>
      <c r="AB41" s="49">
        <v>10.5</v>
      </c>
      <c r="AC41" s="46">
        <v>71</v>
      </c>
      <c r="AD41" s="46">
        <v>0</v>
      </c>
      <c r="AE41" s="46">
        <v>0</v>
      </c>
      <c r="AF41">
        <v>1</v>
      </c>
      <c r="AG41">
        <v>15.9</v>
      </c>
      <c r="AH41">
        <v>15.6</v>
      </c>
      <c r="AI41" s="31">
        <v>16.100000000000001</v>
      </c>
      <c r="AJ41" s="31">
        <v>15.6</v>
      </c>
      <c r="AK41" s="49">
        <v>15.8</v>
      </c>
      <c r="AL41" s="46">
        <v>84</v>
      </c>
      <c r="AM41" s="46">
        <v>0</v>
      </c>
      <c r="AN41" s="46">
        <v>0</v>
      </c>
      <c r="AO41">
        <v>1</v>
      </c>
      <c r="AP41">
        <v>14.3</v>
      </c>
      <c r="AQ41">
        <v>15.4</v>
      </c>
      <c r="AR41" s="31">
        <v>16.3</v>
      </c>
      <c r="AS41" s="31">
        <v>16.600000000000001</v>
      </c>
      <c r="AT41" s="52">
        <v>15.65</v>
      </c>
      <c r="AU41" s="1">
        <v>0</v>
      </c>
      <c r="AV41" s="1">
        <v>0</v>
      </c>
      <c r="AW41">
        <v>0</v>
      </c>
      <c r="AX41">
        <v>1</v>
      </c>
      <c r="AY41">
        <v>0</v>
      </c>
      <c r="AZ41" s="5">
        <v>-12</v>
      </c>
      <c r="BA41" s="5">
        <v>-25</v>
      </c>
      <c r="BB41">
        <v>0</v>
      </c>
      <c r="BC41">
        <v>1</v>
      </c>
      <c r="BD41" s="1">
        <v>4.5999999999999996</v>
      </c>
      <c r="BE41" s="31">
        <v>4.5999999999999996</v>
      </c>
      <c r="BF41">
        <v>4.5999999999999996</v>
      </c>
      <c r="BG41">
        <v>4.7</v>
      </c>
      <c r="BI41">
        <f t="shared" si="0"/>
        <v>12</v>
      </c>
      <c r="BJ41">
        <f t="shared" si="1"/>
        <v>0</v>
      </c>
      <c r="BK41">
        <f t="shared" si="2"/>
        <v>0</v>
      </c>
      <c r="BL41" s="53">
        <f t="shared" si="3"/>
        <v>5.3000000000000007</v>
      </c>
      <c r="BM41">
        <f t="shared" si="4"/>
        <v>13</v>
      </c>
      <c r="BN41">
        <f t="shared" si="5"/>
        <v>0</v>
      </c>
      <c r="BO41">
        <f t="shared" si="6"/>
        <v>0</v>
      </c>
      <c r="BP41" s="53">
        <f t="shared" si="7"/>
        <v>-0.15000000000000036</v>
      </c>
      <c r="BQ41">
        <f t="shared" si="8"/>
        <v>25</v>
      </c>
      <c r="BR41">
        <f t="shared" si="9"/>
        <v>0</v>
      </c>
      <c r="BS41">
        <f t="shared" si="10"/>
        <v>0</v>
      </c>
      <c r="BT41" s="53">
        <f t="shared" si="11"/>
        <v>5.15</v>
      </c>
    </row>
    <row r="42" spans="1:96" x14ac:dyDescent="0.2">
      <c r="A42" t="s">
        <v>29</v>
      </c>
      <c r="B42">
        <v>21</v>
      </c>
      <c r="C42" s="2">
        <v>2</v>
      </c>
      <c r="D42">
        <v>1</v>
      </c>
      <c r="E42">
        <v>0</v>
      </c>
      <c r="F42">
        <v>1</v>
      </c>
      <c r="G42">
        <v>1</v>
      </c>
      <c r="H42" s="42">
        <v>73</v>
      </c>
      <c r="I42" s="42">
        <v>188</v>
      </c>
      <c r="J42">
        <v>24.800900731844624</v>
      </c>
      <c r="K42">
        <v>22</v>
      </c>
      <c r="L42" s="42">
        <v>1</v>
      </c>
      <c r="M42" t="s">
        <v>12</v>
      </c>
      <c r="N42">
        <v>18</v>
      </c>
      <c r="O42">
        <v>8</v>
      </c>
      <c r="P42">
        <v>0</v>
      </c>
      <c r="Q42">
        <v>0</v>
      </c>
      <c r="R42" s="2">
        <v>1</v>
      </c>
      <c r="S42" s="46">
        <v>89</v>
      </c>
      <c r="T42" s="46">
        <v>1</v>
      </c>
      <c r="U42" s="46">
        <v>0</v>
      </c>
      <c r="V42" s="46">
        <v>1</v>
      </c>
      <c r="W42">
        <v>0</v>
      </c>
      <c r="X42">
        <v>5.3</v>
      </c>
      <c r="Y42">
        <v>5.8</v>
      </c>
      <c r="Z42" s="34">
        <v>5.0999999999999996</v>
      </c>
      <c r="AA42" s="31">
        <v>6.5</v>
      </c>
      <c r="AB42" s="49">
        <v>5.6749999999999998</v>
      </c>
      <c r="AC42" s="46">
        <v>52</v>
      </c>
      <c r="AD42" s="46">
        <v>1</v>
      </c>
      <c r="AE42" s="46">
        <v>0</v>
      </c>
      <c r="AF42">
        <v>1</v>
      </c>
      <c r="AG42" s="7">
        <v>7.7</v>
      </c>
      <c r="AH42" s="7">
        <v>7.4</v>
      </c>
      <c r="AI42" s="31">
        <v>7.2</v>
      </c>
      <c r="AJ42" s="31">
        <v>7.9</v>
      </c>
      <c r="AK42" s="49">
        <v>7.5500000000000007</v>
      </c>
      <c r="AL42" s="46">
        <v>74</v>
      </c>
      <c r="AM42" s="46">
        <v>1</v>
      </c>
      <c r="AN42" s="46">
        <v>0</v>
      </c>
      <c r="AO42">
        <v>1</v>
      </c>
      <c r="AP42" s="4">
        <v>6.4</v>
      </c>
      <c r="AQ42" s="4">
        <v>6.2</v>
      </c>
      <c r="AR42" s="31">
        <v>6.6</v>
      </c>
      <c r="AS42" s="31">
        <v>6.3</v>
      </c>
      <c r="AT42" s="52">
        <v>6.3750000000000009</v>
      </c>
      <c r="AU42" s="1">
        <v>0</v>
      </c>
      <c r="AV42" s="1">
        <v>0</v>
      </c>
      <c r="AW42">
        <v>0</v>
      </c>
      <c r="AX42">
        <v>1</v>
      </c>
      <c r="AY42">
        <v>1</v>
      </c>
      <c r="AZ42">
        <v>37</v>
      </c>
      <c r="BA42">
        <v>15</v>
      </c>
      <c r="BB42">
        <v>1</v>
      </c>
      <c r="BC42">
        <v>1</v>
      </c>
      <c r="BD42" s="1">
        <v>3.7</v>
      </c>
      <c r="BE42" s="31">
        <v>3.7</v>
      </c>
      <c r="BF42">
        <v>3.7</v>
      </c>
      <c r="BG42">
        <v>3.8</v>
      </c>
      <c r="BI42">
        <f t="shared" si="0"/>
        <v>-37</v>
      </c>
      <c r="BJ42">
        <f t="shared" si="1"/>
        <v>0</v>
      </c>
      <c r="BK42">
        <f t="shared" si="2"/>
        <v>0</v>
      </c>
      <c r="BL42" s="53">
        <f t="shared" si="3"/>
        <v>1.8750000000000009</v>
      </c>
      <c r="BM42">
        <f t="shared" si="4"/>
        <v>22</v>
      </c>
      <c r="BN42">
        <f t="shared" si="5"/>
        <v>0</v>
      </c>
      <c r="BO42">
        <f t="shared" si="6"/>
        <v>0</v>
      </c>
      <c r="BP42" s="53">
        <f t="shared" si="7"/>
        <v>-1.1749999999999998</v>
      </c>
      <c r="BQ42">
        <f t="shared" si="8"/>
        <v>-15</v>
      </c>
      <c r="BR42">
        <f t="shared" si="9"/>
        <v>0</v>
      </c>
      <c r="BS42">
        <f t="shared" si="10"/>
        <v>0</v>
      </c>
      <c r="BT42" s="53">
        <f t="shared" si="11"/>
        <v>0.70000000000000107</v>
      </c>
    </row>
    <row r="43" spans="1:96" x14ac:dyDescent="0.2">
      <c r="A43" t="s">
        <v>28</v>
      </c>
      <c r="B43">
        <v>21</v>
      </c>
      <c r="C43" s="2">
        <v>2</v>
      </c>
      <c r="D43">
        <v>1</v>
      </c>
      <c r="E43">
        <v>0</v>
      </c>
      <c r="F43">
        <v>1</v>
      </c>
      <c r="G43">
        <v>1</v>
      </c>
      <c r="H43" s="42">
        <v>73</v>
      </c>
      <c r="I43" s="42">
        <v>188</v>
      </c>
      <c r="J43">
        <v>24.800900731844624</v>
      </c>
      <c r="K43">
        <v>22</v>
      </c>
      <c r="L43" s="42">
        <v>1</v>
      </c>
      <c r="M43" t="s">
        <v>12</v>
      </c>
      <c r="N43">
        <v>18</v>
      </c>
      <c r="O43">
        <v>8</v>
      </c>
      <c r="P43">
        <v>0</v>
      </c>
      <c r="Q43">
        <v>0</v>
      </c>
      <c r="R43" s="2">
        <v>1</v>
      </c>
      <c r="S43" s="46">
        <v>75</v>
      </c>
      <c r="T43" s="46">
        <v>1</v>
      </c>
      <c r="U43" s="46">
        <v>0</v>
      </c>
      <c r="V43" s="46">
        <v>1</v>
      </c>
      <c r="W43">
        <v>0</v>
      </c>
      <c r="X43">
        <v>7</v>
      </c>
      <c r="Y43">
        <v>7</v>
      </c>
      <c r="Z43" s="31">
        <v>6.3</v>
      </c>
      <c r="AA43" s="31">
        <v>6.7</v>
      </c>
      <c r="AB43" s="49">
        <v>6.75</v>
      </c>
      <c r="AC43" s="46">
        <v>42</v>
      </c>
      <c r="AD43" s="46">
        <v>1</v>
      </c>
      <c r="AE43" s="46">
        <v>0</v>
      </c>
      <c r="AF43">
        <v>1</v>
      </c>
      <c r="AG43" s="4">
        <v>11.7</v>
      </c>
      <c r="AH43" s="4">
        <v>12.1</v>
      </c>
      <c r="AI43" s="31">
        <v>12</v>
      </c>
      <c r="AJ43" s="31">
        <v>11.7</v>
      </c>
      <c r="AK43" s="49">
        <v>11.875</v>
      </c>
      <c r="AL43" s="46">
        <v>77</v>
      </c>
      <c r="AM43" s="46">
        <v>1</v>
      </c>
      <c r="AN43" s="46">
        <v>0</v>
      </c>
      <c r="AO43">
        <v>1</v>
      </c>
      <c r="AP43" s="4">
        <v>10.8</v>
      </c>
      <c r="AQ43" s="4">
        <v>10.6</v>
      </c>
      <c r="AR43" s="31">
        <v>10.6</v>
      </c>
      <c r="AS43" s="31">
        <v>10.7</v>
      </c>
      <c r="AT43" s="52">
        <v>10.675000000000001</v>
      </c>
      <c r="AU43" s="1">
        <v>1</v>
      </c>
      <c r="AV43" s="1">
        <v>1</v>
      </c>
      <c r="AW43">
        <v>1</v>
      </c>
      <c r="AX43">
        <v>1</v>
      </c>
      <c r="AY43">
        <v>1</v>
      </c>
      <c r="AZ43">
        <v>33</v>
      </c>
      <c r="BA43">
        <v>-2</v>
      </c>
      <c r="BB43">
        <v>1</v>
      </c>
      <c r="BC43">
        <v>1</v>
      </c>
      <c r="BD43" s="1">
        <v>4.3</v>
      </c>
      <c r="BE43" s="31">
        <v>4.3</v>
      </c>
      <c r="BF43">
        <v>4.3</v>
      </c>
      <c r="BG43">
        <v>4.2</v>
      </c>
      <c r="BI43">
        <f>+AC43-S43</f>
        <v>-33</v>
      </c>
      <c r="BJ43">
        <f t="shared" si="1"/>
        <v>0</v>
      </c>
      <c r="BK43">
        <f t="shared" si="2"/>
        <v>0</v>
      </c>
      <c r="BL43" s="53">
        <f t="shared" si="3"/>
        <v>5.125</v>
      </c>
      <c r="BM43">
        <f t="shared" si="4"/>
        <v>35</v>
      </c>
      <c r="BN43">
        <f t="shared" si="5"/>
        <v>0</v>
      </c>
      <c r="BO43">
        <f t="shared" si="6"/>
        <v>0</v>
      </c>
      <c r="BP43" s="53">
        <f t="shared" si="7"/>
        <v>-1.1999999999999993</v>
      </c>
      <c r="BQ43">
        <f t="shared" si="8"/>
        <v>2</v>
      </c>
      <c r="BR43">
        <f t="shared" si="9"/>
        <v>0</v>
      </c>
      <c r="BS43">
        <f t="shared" si="10"/>
        <v>0</v>
      </c>
      <c r="BT43" s="53">
        <f t="shared" si="11"/>
        <v>3.9250000000000007</v>
      </c>
    </row>
    <row r="44" spans="1:96" x14ac:dyDescent="0.2">
      <c r="A44" t="s">
        <v>27</v>
      </c>
      <c r="B44">
        <v>22</v>
      </c>
      <c r="C44" s="2">
        <v>2</v>
      </c>
      <c r="D44">
        <v>0</v>
      </c>
      <c r="E44">
        <v>0</v>
      </c>
      <c r="F44">
        <v>0</v>
      </c>
      <c r="G44">
        <v>1</v>
      </c>
      <c r="H44" s="42">
        <v>67</v>
      </c>
      <c r="I44" s="42">
        <v>180</v>
      </c>
      <c r="J44">
        <v>28.188906215192695</v>
      </c>
      <c r="K44">
        <v>20</v>
      </c>
      <c r="L44" s="42">
        <v>1</v>
      </c>
      <c r="M44" t="s">
        <v>0</v>
      </c>
      <c r="N44">
        <v>16</v>
      </c>
      <c r="O44" s="6"/>
      <c r="P44">
        <v>1</v>
      </c>
      <c r="Q44">
        <v>0</v>
      </c>
      <c r="R44" s="2">
        <v>0</v>
      </c>
      <c r="S44" s="46">
        <v>51</v>
      </c>
      <c r="T44" s="46">
        <v>0</v>
      </c>
      <c r="U44" s="46">
        <v>0</v>
      </c>
      <c r="V44" s="46">
        <v>1</v>
      </c>
      <c r="W44">
        <v>1</v>
      </c>
      <c r="X44">
        <v>6</v>
      </c>
      <c r="Y44">
        <v>5.6</v>
      </c>
      <c r="Z44" s="31">
        <v>6.1</v>
      </c>
      <c r="AA44" s="31">
        <v>5.5</v>
      </c>
      <c r="AB44" s="49">
        <v>5.8</v>
      </c>
      <c r="AC44" s="54"/>
      <c r="AD44" s="54"/>
      <c r="AE44" s="54"/>
      <c r="AF44" s="54"/>
      <c r="AG44" s="54"/>
      <c r="AH44" s="54"/>
      <c r="AI44" s="56"/>
      <c r="AJ44" s="56"/>
      <c r="AK44" s="58" t="e">
        <v>#DIV/0!</v>
      </c>
      <c r="AL44" s="54"/>
      <c r="AM44" s="54"/>
      <c r="AN44" s="54"/>
      <c r="AO44" s="54"/>
      <c r="AP44" s="54"/>
      <c r="AQ44" s="54"/>
      <c r="AR44" s="56"/>
      <c r="AS44" s="56"/>
      <c r="AT44" s="57"/>
      <c r="AU44" s="1">
        <v>0</v>
      </c>
      <c r="AV44" s="1">
        <v>0</v>
      </c>
      <c r="AW44">
        <v>0</v>
      </c>
      <c r="AX44">
        <v>0</v>
      </c>
      <c r="AY44">
        <v>0</v>
      </c>
      <c r="AZ44" s="3">
        <v>51</v>
      </c>
      <c r="BA44" s="3">
        <v>51</v>
      </c>
      <c r="BD44" s="1">
        <v>5.0999999999999996</v>
      </c>
      <c r="BE44" s="31">
        <v>5.5</v>
      </c>
      <c r="BF44">
        <v>5.0999999999999996</v>
      </c>
      <c r="BG44">
        <v>4.5</v>
      </c>
      <c r="BI44" s="54"/>
      <c r="BJ44" s="54"/>
      <c r="BK44" s="54"/>
      <c r="BL44" s="55"/>
      <c r="BM44" s="54"/>
      <c r="BN44" s="54"/>
      <c r="BO44" s="54"/>
      <c r="BP44" s="55"/>
      <c r="BQ44" s="54"/>
      <c r="BR44" s="54"/>
      <c r="BS44" s="54"/>
      <c r="BT44" s="55"/>
    </row>
    <row r="45" spans="1:96" x14ac:dyDescent="0.2">
      <c r="A45" t="s">
        <v>26</v>
      </c>
      <c r="B45">
        <v>22</v>
      </c>
      <c r="C45" s="2">
        <v>2</v>
      </c>
      <c r="D45">
        <v>0</v>
      </c>
      <c r="E45">
        <v>0</v>
      </c>
      <c r="F45">
        <v>1</v>
      </c>
      <c r="G45">
        <v>1</v>
      </c>
      <c r="H45" s="42">
        <v>67</v>
      </c>
      <c r="I45" s="42">
        <v>180</v>
      </c>
      <c r="J45">
        <v>28.188906215192695</v>
      </c>
      <c r="K45">
        <v>20</v>
      </c>
      <c r="L45" s="42">
        <v>1</v>
      </c>
      <c r="M45" t="s">
        <v>0</v>
      </c>
      <c r="N45">
        <v>16</v>
      </c>
      <c r="O45" s="6"/>
      <c r="P45">
        <v>1</v>
      </c>
      <c r="Q45">
        <v>0</v>
      </c>
      <c r="R45" s="2">
        <v>0</v>
      </c>
      <c r="S45" s="46">
        <v>39</v>
      </c>
      <c r="T45" s="46">
        <v>0</v>
      </c>
      <c r="U45" s="46">
        <v>0</v>
      </c>
      <c r="V45" s="46">
        <v>1</v>
      </c>
      <c r="W45">
        <v>0</v>
      </c>
      <c r="X45">
        <v>4.5999999999999996</v>
      </c>
      <c r="Y45">
        <v>4.7</v>
      </c>
      <c r="Z45" s="31">
        <v>4.5999999999999996</v>
      </c>
      <c r="AA45" s="31">
        <v>4.9000000000000004</v>
      </c>
      <c r="AB45" s="49">
        <v>4.7</v>
      </c>
      <c r="AC45" s="54"/>
      <c r="AD45" s="54"/>
      <c r="AE45" s="54"/>
      <c r="AF45" s="54"/>
      <c r="AG45" s="54"/>
      <c r="AH45" s="54"/>
      <c r="AI45" s="56"/>
      <c r="AJ45" s="56"/>
      <c r="AK45" s="58" t="e">
        <v>#DIV/0!</v>
      </c>
      <c r="AL45" s="54"/>
      <c r="AM45" s="54"/>
      <c r="AN45" s="54"/>
      <c r="AO45" s="54"/>
      <c r="AP45" s="54"/>
      <c r="AQ45" s="54"/>
      <c r="AR45" s="56"/>
      <c r="AS45" s="56"/>
      <c r="AT45" s="57" t="e">
        <v>#DIV/0!</v>
      </c>
      <c r="AU45" s="1">
        <v>0</v>
      </c>
      <c r="AV45" s="1">
        <v>0</v>
      </c>
      <c r="AW45">
        <v>0</v>
      </c>
      <c r="AX45">
        <v>0</v>
      </c>
      <c r="AY45">
        <v>0</v>
      </c>
      <c r="AZ45" s="3">
        <v>39</v>
      </c>
      <c r="BA45" s="3">
        <v>39</v>
      </c>
      <c r="BD45" s="1">
        <v>4.7</v>
      </c>
      <c r="BE45" s="31">
        <v>4.9000000000000004</v>
      </c>
      <c r="BF45">
        <v>4.7</v>
      </c>
      <c r="BG45">
        <v>4.5999999999999996</v>
      </c>
      <c r="BI45" s="54"/>
      <c r="BJ45" s="54"/>
      <c r="BK45" s="54"/>
      <c r="BL45" s="55"/>
      <c r="BM45" s="54"/>
      <c r="BN45" s="54"/>
      <c r="BO45" s="54"/>
      <c r="BP45" s="55"/>
      <c r="BQ45" s="54"/>
      <c r="BR45" s="54"/>
      <c r="BS45" s="54"/>
      <c r="BT45" s="55"/>
    </row>
    <row r="46" spans="1:96" x14ac:dyDescent="0.2">
      <c r="A46" t="s">
        <v>25</v>
      </c>
      <c r="B46">
        <v>23</v>
      </c>
      <c r="C46" s="2">
        <v>2</v>
      </c>
      <c r="D46">
        <v>0</v>
      </c>
      <c r="E46">
        <v>0</v>
      </c>
      <c r="F46">
        <v>1</v>
      </c>
      <c r="G46">
        <v>1</v>
      </c>
      <c r="H46" s="42">
        <v>74</v>
      </c>
      <c r="I46" s="42">
        <v>200</v>
      </c>
      <c r="J46">
        <v>25.675675675675674</v>
      </c>
      <c r="K46">
        <v>21</v>
      </c>
      <c r="L46" s="42">
        <v>1</v>
      </c>
      <c r="M46" t="s">
        <v>5</v>
      </c>
      <c r="N46">
        <v>8</v>
      </c>
      <c r="O46">
        <v>8</v>
      </c>
      <c r="P46">
        <v>0</v>
      </c>
      <c r="Q46">
        <v>0</v>
      </c>
      <c r="R46" s="2">
        <v>0</v>
      </c>
      <c r="S46" s="46">
        <v>54</v>
      </c>
      <c r="T46" s="46">
        <v>0</v>
      </c>
      <c r="U46" s="46">
        <v>0</v>
      </c>
      <c r="V46" s="46">
        <v>1</v>
      </c>
      <c r="W46">
        <v>0</v>
      </c>
      <c r="X46">
        <v>3.7</v>
      </c>
      <c r="Y46">
        <v>3.8</v>
      </c>
      <c r="Z46" s="31">
        <v>3.7</v>
      </c>
      <c r="AA46" s="31">
        <v>4</v>
      </c>
      <c r="AB46" s="49">
        <v>3.8</v>
      </c>
      <c r="AC46" s="54"/>
      <c r="AD46" s="54"/>
      <c r="AE46" s="54"/>
      <c r="AF46" s="54"/>
      <c r="AG46" s="54"/>
      <c r="AH46" s="54"/>
      <c r="AI46" s="56"/>
      <c r="AJ46" s="56"/>
      <c r="AK46" s="58" t="e">
        <v>#DIV/0!</v>
      </c>
      <c r="AL46" s="54"/>
      <c r="AM46" s="54"/>
      <c r="AN46" s="54"/>
      <c r="AO46" s="54"/>
      <c r="AP46" s="54"/>
      <c r="AQ46" s="54"/>
      <c r="AR46" s="56"/>
      <c r="AS46" s="56"/>
      <c r="AT46" s="57" t="e">
        <v>#DIV/0!</v>
      </c>
      <c r="AU46" s="1">
        <v>0</v>
      </c>
      <c r="AV46" s="1">
        <v>0</v>
      </c>
      <c r="AW46">
        <v>0</v>
      </c>
      <c r="AX46">
        <v>0</v>
      </c>
      <c r="AY46">
        <v>0</v>
      </c>
      <c r="AZ46" s="3">
        <v>54</v>
      </c>
      <c r="BA46" s="3">
        <v>54</v>
      </c>
      <c r="BD46" s="1">
        <v>4.0999999999999996</v>
      </c>
      <c r="BE46" s="31">
        <v>3.8</v>
      </c>
      <c r="BF46">
        <v>4.0999999999999996</v>
      </c>
      <c r="BG46">
        <v>4</v>
      </c>
      <c r="BI46" s="54"/>
      <c r="BJ46" s="54"/>
      <c r="BK46" s="54"/>
      <c r="BL46" s="55"/>
      <c r="BM46" s="54"/>
      <c r="BN46" s="54"/>
      <c r="BO46" s="54"/>
      <c r="BP46" s="55"/>
      <c r="BQ46" s="54"/>
      <c r="BR46" s="54"/>
      <c r="BS46" s="54"/>
      <c r="BT46" s="55"/>
    </row>
    <row r="47" spans="1:96" x14ac:dyDescent="0.2">
      <c r="A47" t="s">
        <v>24</v>
      </c>
      <c r="B47">
        <v>23</v>
      </c>
      <c r="C47" s="2">
        <v>2</v>
      </c>
      <c r="D47">
        <v>0</v>
      </c>
      <c r="E47">
        <v>0</v>
      </c>
      <c r="F47">
        <v>1</v>
      </c>
      <c r="G47">
        <v>1</v>
      </c>
      <c r="H47" s="42">
        <v>74</v>
      </c>
      <c r="I47" s="42">
        <v>200</v>
      </c>
      <c r="J47">
        <v>25.675675675675674</v>
      </c>
      <c r="K47">
        <v>21</v>
      </c>
      <c r="L47" s="42">
        <v>1</v>
      </c>
      <c r="M47" t="s">
        <v>5</v>
      </c>
      <c r="N47">
        <v>8</v>
      </c>
      <c r="O47">
        <v>8</v>
      </c>
      <c r="P47">
        <v>0</v>
      </c>
      <c r="Q47">
        <v>0</v>
      </c>
      <c r="R47" s="2">
        <v>0</v>
      </c>
      <c r="S47" s="46">
        <v>95</v>
      </c>
      <c r="T47" s="46">
        <v>0</v>
      </c>
      <c r="U47" s="46">
        <v>0</v>
      </c>
      <c r="V47" s="46">
        <v>0</v>
      </c>
      <c r="W47">
        <v>0</v>
      </c>
      <c r="X47">
        <v>4.3</v>
      </c>
      <c r="Y47">
        <v>4.2</v>
      </c>
      <c r="Z47" s="31">
        <v>4.3</v>
      </c>
      <c r="AA47" s="31">
        <v>4.2</v>
      </c>
      <c r="AB47" s="49">
        <v>4.25</v>
      </c>
      <c r="AC47" s="54"/>
      <c r="AD47" s="54"/>
      <c r="AE47" s="54"/>
      <c r="AF47" s="54"/>
      <c r="AG47" s="54"/>
      <c r="AH47" s="54"/>
      <c r="AI47" s="56"/>
      <c r="AJ47" s="56"/>
      <c r="AK47" s="58" t="e">
        <v>#DIV/0!</v>
      </c>
      <c r="AL47" s="54"/>
      <c r="AM47" s="54"/>
      <c r="AN47" s="54"/>
      <c r="AO47" s="54"/>
      <c r="AP47" s="54"/>
      <c r="AQ47" s="54"/>
      <c r="AR47" s="56"/>
      <c r="AS47" s="56"/>
      <c r="AT47" s="57" t="e">
        <v>#DIV/0!</v>
      </c>
      <c r="AU47" s="1">
        <v>0</v>
      </c>
      <c r="AV47" s="1">
        <v>0</v>
      </c>
      <c r="AW47">
        <v>0</v>
      </c>
      <c r="AX47">
        <v>0</v>
      </c>
      <c r="AY47">
        <v>0</v>
      </c>
      <c r="AZ47" s="3">
        <v>95</v>
      </c>
      <c r="BA47" s="3">
        <v>95</v>
      </c>
      <c r="BD47" s="1">
        <v>3.3</v>
      </c>
      <c r="BE47" s="31">
        <v>3.2</v>
      </c>
      <c r="BF47">
        <v>3.3</v>
      </c>
      <c r="BG47">
        <v>3.3</v>
      </c>
      <c r="BI47" s="54"/>
      <c r="BJ47" s="54"/>
      <c r="BK47" s="54"/>
      <c r="BL47" s="55"/>
      <c r="BM47" s="54"/>
      <c r="BN47" s="54"/>
      <c r="BO47" s="54"/>
      <c r="BP47" s="55"/>
      <c r="BQ47" s="54"/>
      <c r="BR47" s="54"/>
      <c r="BS47" s="54"/>
      <c r="BT47" s="55"/>
    </row>
    <row r="48" spans="1:96" x14ac:dyDescent="0.2">
      <c r="A48" t="s">
        <v>23</v>
      </c>
      <c r="B48">
        <v>24</v>
      </c>
      <c r="C48" s="2">
        <v>2</v>
      </c>
      <c r="D48">
        <v>1</v>
      </c>
      <c r="E48">
        <v>0</v>
      </c>
      <c r="F48">
        <v>1</v>
      </c>
      <c r="G48">
        <v>1</v>
      </c>
      <c r="H48" s="42">
        <v>75</v>
      </c>
      <c r="I48" s="42">
        <v>190</v>
      </c>
      <c r="J48">
        <v>23.745777777777775</v>
      </c>
      <c r="K48">
        <v>21</v>
      </c>
      <c r="L48" s="42">
        <v>1</v>
      </c>
      <c r="M48" t="s">
        <v>5</v>
      </c>
      <c r="N48" s="6"/>
      <c r="O48" s="6"/>
      <c r="P48">
        <v>0</v>
      </c>
      <c r="Q48">
        <v>0</v>
      </c>
      <c r="R48" s="2">
        <v>0</v>
      </c>
      <c r="S48" s="46">
        <v>67</v>
      </c>
      <c r="T48" s="46">
        <v>0</v>
      </c>
      <c r="U48" s="46">
        <v>0</v>
      </c>
      <c r="V48" s="46">
        <v>1</v>
      </c>
      <c r="W48">
        <v>0</v>
      </c>
      <c r="X48">
        <v>5.0999999999999996</v>
      </c>
      <c r="Y48">
        <v>4.5</v>
      </c>
      <c r="Z48" s="31">
        <v>5.5</v>
      </c>
      <c r="AA48" s="31">
        <v>4.5999999999999996</v>
      </c>
      <c r="AB48" s="49">
        <v>4.9249999999999998</v>
      </c>
      <c r="AC48" s="46">
        <v>88</v>
      </c>
      <c r="AD48" s="46">
        <v>0</v>
      </c>
      <c r="AE48" s="46">
        <v>0</v>
      </c>
      <c r="AF48">
        <v>0</v>
      </c>
      <c r="AG48">
        <v>6.1</v>
      </c>
      <c r="AH48">
        <v>6.6</v>
      </c>
      <c r="AI48" s="31">
        <v>6.2</v>
      </c>
      <c r="AJ48" s="31">
        <v>6.8</v>
      </c>
      <c r="AK48" s="49">
        <v>6.4249999999999998</v>
      </c>
      <c r="AL48" s="46">
        <v>84</v>
      </c>
      <c r="AM48" s="46">
        <v>0</v>
      </c>
      <c r="AN48" s="46">
        <v>0</v>
      </c>
      <c r="AO48">
        <v>0</v>
      </c>
      <c r="AP48">
        <v>6.1</v>
      </c>
      <c r="AQ48">
        <v>5.8</v>
      </c>
      <c r="AR48" s="31">
        <v>5.6</v>
      </c>
      <c r="AS48" s="31">
        <v>5.7</v>
      </c>
      <c r="AT48" s="52">
        <v>5.8</v>
      </c>
      <c r="AU48" s="1">
        <v>0</v>
      </c>
      <c r="AV48" s="1">
        <v>0</v>
      </c>
      <c r="AW48">
        <v>0</v>
      </c>
      <c r="AX48">
        <v>0</v>
      </c>
      <c r="AY48">
        <v>0</v>
      </c>
      <c r="AZ48">
        <v>-21</v>
      </c>
      <c r="BA48">
        <v>-17</v>
      </c>
      <c r="BB48">
        <v>0</v>
      </c>
      <c r="BC48">
        <v>0</v>
      </c>
      <c r="BD48" s="1">
        <v>4</v>
      </c>
      <c r="BE48" s="31">
        <v>4.5999999999999996</v>
      </c>
      <c r="BF48">
        <v>4</v>
      </c>
      <c r="BG48">
        <v>3.6</v>
      </c>
      <c r="BI48">
        <f>+AC48-S48</f>
        <v>21</v>
      </c>
      <c r="BJ48">
        <f t="shared" ref="BJ48" si="12">+AD48-T48</f>
        <v>0</v>
      </c>
      <c r="BK48">
        <f t="shared" ref="BK48" si="13">+AE48-U48</f>
        <v>0</v>
      </c>
      <c r="BL48" s="53">
        <f t="shared" si="3"/>
        <v>1.5</v>
      </c>
      <c r="BM48">
        <f t="shared" si="4"/>
        <v>-4</v>
      </c>
      <c r="BN48">
        <f t="shared" si="5"/>
        <v>0</v>
      </c>
      <c r="BO48">
        <f t="shared" si="6"/>
        <v>0</v>
      </c>
      <c r="BP48" s="53">
        <f t="shared" si="7"/>
        <v>-0.625</v>
      </c>
      <c r="BQ48">
        <f t="shared" si="8"/>
        <v>17</v>
      </c>
      <c r="BR48">
        <f t="shared" si="9"/>
        <v>0</v>
      </c>
      <c r="BS48">
        <f t="shared" si="10"/>
        <v>0</v>
      </c>
      <c r="BT48" s="53">
        <f t="shared" si="11"/>
        <v>0.875</v>
      </c>
    </row>
    <row r="49" spans="1:72" x14ac:dyDescent="0.2">
      <c r="A49" t="s">
        <v>22</v>
      </c>
      <c r="B49">
        <v>24</v>
      </c>
      <c r="C49" s="2">
        <v>2</v>
      </c>
      <c r="D49">
        <v>1</v>
      </c>
      <c r="E49">
        <v>0</v>
      </c>
      <c r="F49">
        <v>1</v>
      </c>
      <c r="G49">
        <v>1</v>
      </c>
      <c r="H49" s="42">
        <v>75</v>
      </c>
      <c r="I49" s="42">
        <v>190</v>
      </c>
      <c r="J49">
        <v>23.745777777777775</v>
      </c>
      <c r="K49">
        <v>21</v>
      </c>
      <c r="L49" s="42">
        <v>1</v>
      </c>
      <c r="M49" t="s">
        <v>5</v>
      </c>
      <c r="N49" s="6"/>
      <c r="O49" s="6"/>
      <c r="P49">
        <v>0</v>
      </c>
      <c r="Q49">
        <v>0</v>
      </c>
      <c r="R49" s="2">
        <v>0</v>
      </c>
      <c r="S49" s="46">
        <v>78</v>
      </c>
      <c r="T49" s="46">
        <v>0</v>
      </c>
      <c r="U49" s="46">
        <v>0</v>
      </c>
      <c r="V49" s="46">
        <v>1</v>
      </c>
      <c r="W49">
        <v>0</v>
      </c>
      <c r="X49">
        <v>4.7</v>
      </c>
      <c r="Y49">
        <v>4.5999999999999996</v>
      </c>
      <c r="Z49" s="31">
        <v>4.9000000000000004</v>
      </c>
      <c r="AA49" s="31">
        <v>5</v>
      </c>
      <c r="AB49" s="49">
        <v>4.8000000000000007</v>
      </c>
      <c r="AC49" s="46">
        <v>96</v>
      </c>
      <c r="AD49" s="46">
        <v>0</v>
      </c>
      <c r="AE49" s="46">
        <v>0</v>
      </c>
      <c r="AF49">
        <v>0</v>
      </c>
      <c r="AG49">
        <v>6</v>
      </c>
      <c r="AH49">
        <v>5.4</v>
      </c>
      <c r="AI49" s="31">
        <v>6.1</v>
      </c>
      <c r="AJ49" s="31">
        <v>5.3</v>
      </c>
      <c r="AK49" s="49">
        <v>5.7</v>
      </c>
      <c r="AL49" s="46">
        <v>97</v>
      </c>
      <c r="AM49" s="46">
        <v>0</v>
      </c>
      <c r="AN49" s="46">
        <v>0</v>
      </c>
      <c r="AO49">
        <v>1</v>
      </c>
      <c r="AP49">
        <v>6.4</v>
      </c>
      <c r="AQ49">
        <v>6.2</v>
      </c>
      <c r="AR49" s="31">
        <v>6.2</v>
      </c>
      <c r="AS49" s="31">
        <v>6.3</v>
      </c>
      <c r="AT49" s="52">
        <v>6.2750000000000004</v>
      </c>
      <c r="AU49" s="1">
        <v>0</v>
      </c>
      <c r="AV49" s="1">
        <v>0</v>
      </c>
      <c r="AW49">
        <v>0</v>
      </c>
      <c r="AX49">
        <v>0</v>
      </c>
      <c r="AY49">
        <v>0</v>
      </c>
      <c r="AZ49">
        <v>-18</v>
      </c>
      <c r="BA49">
        <v>-19</v>
      </c>
      <c r="BB49">
        <v>0</v>
      </c>
      <c r="BC49">
        <v>1</v>
      </c>
      <c r="BD49" s="1">
        <v>4.3</v>
      </c>
      <c r="BE49" s="31">
        <v>4.4000000000000004</v>
      </c>
      <c r="BF49">
        <v>4.3</v>
      </c>
      <c r="BG49">
        <v>4.5</v>
      </c>
      <c r="BI49">
        <f t="shared" si="0"/>
        <v>18</v>
      </c>
      <c r="BJ49">
        <f t="shared" si="1"/>
        <v>0</v>
      </c>
      <c r="BK49">
        <f t="shared" si="2"/>
        <v>0</v>
      </c>
      <c r="BL49" s="53">
        <f t="shared" si="3"/>
        <v>0.89999999999999947</v>
      </c>
      <c r="BM49">
        <f t="shared" si="4"/>
        <v>1</v>
      </c>
      <c r="BN49">
        <f t="shared" si="5"/>
        <v>0</v>
      </c>
      <c r="BO49">
        <f t="shared" si="6"/>
        <v>0</v>
      </c>
      <c r="BP49" s="53">
        <f t="shared" si="7"/>
        <v>0.57500000000000018</v>
      </c>
      <c r="BQ49">
        <f t="shared" si="8"/>
        <v>19</v>
      </c>
      <c r="BR49">
        <f t="shared" si="9"/>
        <v>0</v>
      </c>
      <c r="BS49">
        <f t="shared" si="10"/>
        <v>0</v>
      </c>
      <c r="BT49" s="53">
        <f t="shared" si="11"/>
        <v>1.4749999999999996</v>
      </c>
    </row>
    <row r="50" spans="1:72" x14ac:dyDescent="0.2">
      <c r="A50" s="3" t="s">
        <v>21</v>
      </c>
      <c r="B50" s="3">
        <v>25</v>
      </c>
      <c r="C50" s="2">
        <v>2</v>
      </c>
      <c r="D50">
        <v>0</v>
      </c>
      <c r="E50">
        <v>0</v>
      </c>
      <c r="F50">
        <v>0</v>
      </c>
      <c r="G50" s="3">
        <v>1</v>
      </c>
      <c r="H50" s="42">
        <v>76</v>
      </c>
      <c r="I50" s="42">
        <v>190</v>
      </c>
      <c r="J50">
        <v>23.125</v>
      </c>
      <c r="K50" s="3">
        <v>18</v>
      </c>
      <c r="L50" s="42">
        <v>1</v>
      </c>
      <c r="M50" s="3" t="s">
        <v>0</v>
      </c>
      <c r="N50" s="3">
        <v>10</v>
      </c>
      <c r="O50" s="3">
        <v>2</v>
      </c>
      <c r="P50" s="3">
        <v>0</v>
      </c>
      <c r="Q50" s="3">
        <v>0</v>
      </c>
      <c r="R50" s="13">
        <v>0</v>
      </c>
      <c r="S50" s="54"/>
      <c r="T50" s="54"/>
      <c r="U50" s="54"/>
      <c r="V50" s="54"/>
      <c r="W50" s="54"/>
      <c r="X50" s="54"/>
      <c r="Y50" s="54"/>
      <c r="Z50" s="56"/>
      <c r="AA50" s="56"/>
      <c r="AB50" s="58" t="e">
        <v>#DIV/0!</v>
      </c>
      <c r="AC50" s="46">
        <v>85</v>
      </c>
      <c r="AD50" s="46">
        <v>0</v>
      </c>
      <c r="AE50" s="46">
        <v>0</v>
      </c>
      <c r="AF50">
        <v>0</v>
      </c>
      <c r="AG50">
        <v>4.5999999999999996</v>
      </c>
      <c r="AH50">
        <v>4.7</v>
      </c>
      <c r="AI50" s="31">
        <v>4.4000000000000004</v>
      </c>
      <c r="AJ50" s="31">
        <v>4.5999999999999996</v>
      </c>
      <c r="AK50" s="49">
        <v>4.5750000000000002</v>
      </c>
      <c r="AL50" s="46">
        <v>84</v>
      </c>
      <c r="AM50" s="46">
        <v>0</v>
      </c>
      <c r="AN50" s="46">
        <v>0</v>
      </c>
      <c r="AO50">
        <v>0</v>
      </c>
      <c r="AP50">
        <v>3.4</v>
      </c>
      <c r="AQ50">
        <v>4.0999999999999996</v>
      </c>
      <c r="AR50" s="31">
        <v>3.4</v>
      </c>
      <c r="AS50" s="31">
        <v>4.0999999999999996</v>
      </c>
      <c r="AT50" s="52">
        <v>3.75</v>
      </c>
      <c r="AU50" s="1">
        <v>0</v>
      </c>
      <c r="AV50" s="1">
        <v>0</v>
      </c>
      <c r="AW50">
        <v>0</v>
      </c>
      <c r="AX50">
        <v>0</v>
      </c>
      <c r="AY50">
        <v>0</v>
      </c>
      <c r="AZ50" s="3">
        <v>-85</v>
      </c>
      <c r="BA50" s="3">
        <v>-84</v>
      </c>
      <c r="BD50" s="1">
        <v>3.5</v>
      </c>
      <c r="BE50" s="31">
        <v>3.8</v>
      </c>
      <c r="BF50">
        <v>3.5</v>
      </c>
      <c r="BG50">
        <v>3.6</v>
      </c>
      <c r="BI50" s="54"/>
      <c r="BJ50" s="54"/>
      <c r="BK50" s="54"/>
      <c r="BL50" s="55"/>
      <c r="BM50">
        <f t="shared" si="4"/>
        <v>-1</v>
      </c>
      <c r="BN50">
        <f t="shared" si="5"/>
        <v>0</v>
      </c>
      <c r="BO50">
        <f t="shared" si="6"/>
        <v>0</v>
      </c>
      <c r="BP50" s="53">
        <f t="shared" si="7"/>
        <v>-0.82500000000000018</v>
      </c>
      <c r="BQ50" s="54"/>
      <c r="BR50" s="54"/>
      <c r="BS50" s="54"/>
      <c r="BT50" s="55"/>
    </row>
    <row r="51" spans="1:72" x14ac:dyDescent="0.2">
      <c r="A51" s="3" t="s">
        <v>20</v>
      </c>
      <c r="B51" s="3">
        <v>25</v>
      </c>
      <c r="C51" s="2">
        <v>2</v>
      </c>
      <c r="D51">
        <v>0</v>
      </c>
      <c r="E51">
        <v>0</v>
      </c>
      <c r="F51">
        <v>0</v>
      </c>
      <c r="G51" s="3">
        <v>1</v>
      </c>
      <c r="H51" s="42">
        <v>76</v>
      </c>
      <c r="I51" s="42">
        <v>190</v>
      </c>
      <c r="J51">
        <v>23.125</v>
      </c>
      <c r="K51" s="3">
        <v>18</v>
      </c>
      <c r="L51" s="42">
        <v>1</v>
      </c>
      <c r="M51" s="3" t="s">
        <v>0</v>
      </c>
      <c r="N51" s="3">
        <v>10</v>
      </c>
      <c r="O51" s="3">
        <v>2</v>
      </c>
      <c r="P51" s="3">
        <v>0</v>
      </c>
      <c r="Q51" s="3">
        <v>0</v>
      </c>
      <c r="R51" s="13">
        <v>1</v>
      </c>
      <c r="S51" s="54"/>
      <c r="T51" s="54"/>
      <c r="U51" s="54"/>
      <c r="V51" s="54"/>
      <c r="W51" s="54"/>
      <c r="X51" s="54"/>
      <c r="Y51" s="54"/>
      <c r="Z51" s="56"/>
      <c r="AA51" s="56"/>
      <c r="AB51" s="58" t="e">
        <v>#DIV/0!</v>
      </c>
      <c r="AC51" s="46">
        <v>88</v>
      </c>
      <c r="AD51" s="46">
        <v>0</v>
      </c>
      <c r="AE51" s="46">
        <v>1</v>
      </c>
      <c r="AF51">
        <v>0</v>
      </c>
      <c r="AG51">
        <v>4.4000000000000004</v>
      </c>
      <c r="AH51">
        <v>4.5</v>
      </c>
      <c r="AI51" s="31">
        <v>4.3</v>
      </c>
      <c r="AJ51" s="31">
        <v>4.4000000000000004</v>
      </c>
      <c r="AK51" s="49">
        <v>4.4000000000000004</v>
      </c>
      <c r="AL51" s="46">
        <v>83</v>
      </c>
      <c r="AM51" s="46">
        <v>0</v>
      </c>
      <c r="AN51" s="46">
        <v>1</v>
      </c>
      <c r="AO51">
        <v>1</v>
      </c>
      <c r="AP51" s="7">
        <v>5.2</v>
      </c>
      <c r="AQ51" s="7">
        <v>5.6</v>
      </c>
      <c r="AR51" s="31">
        <v>5.0999999999999996</v>
      </c>
      <c r="AS51" s="31">
        <v>5.9</v>
      </c>
      <c r="AT51" s="52">
        <v>5.45</v>
      </c>
      <c r="AU51" s="1">
        <v>0</v>
      </c>
      <c r="AV51" s="1">
        <v>0</v>
      </c>
      <c r="AW51">
        <v>0</v>
      </c>
      <c r="AX51">
        <v>0</v>
      </c>
      <c r="AY51">
        <v>0</v>
      </c>
      <c r="AZ51" s="3">
        <v>-88</v>
      </c>
      <c r="BA51" s="3">
        <v>-83</v>
      </c>
      <c r="BD51" s="1">
        <v>3.6</v>
      </c>
      <c r="BE51" s="31">
        <v>3.6</v>
      </c>
      <c r="BF51">
        <v>3.6</v>
      </c>
      <c r="BG51">
        <v>3.7</v>
      </c>
      <c r="BI51" s="54"/>
      <c r="BJ51" s="54"/>
      <c r="BK51" s="54"/>
      <c r="BL51" s="55"/>
      <c r="BM51">
        <f t="shared" si="4"/>
        <v>-5</v>
      </c>
      <c r="BN51">
        <f t="shared" si="5"/>
        <v>0</v>
      </c>
      <c r="BO51">
        <f t="shared" si="6"/>
        <v>0</v>
      </c>
      <c r="BP51" s="53">
        <f t="shared" si="7"/>
        <v>1.0499999999999998</v>
      </c>
      <c r="BQ51" s="54"/>
      <c r="BR51" s="54"/>
      <c r="BS51" s="54"/>
      <c r="BT51" s="55"/>
    </row>
    <row r="52" spans="1:72" x14ac:dyDescent="0.2">
      <c r="A52" t="s">
        <v>19</v>
      </c>
      <c r="B52">
        <v>26</v>
      </c>
      <c r="C52" s="2">
        <v>2</v>
      </c>
      <c r="D52">
        <v>1</v>
      </c>
      <c r="E52">
        <v>1</v>
      </c>
      <c r="F52">
        <v>1</v>
      </c>
      <c r="G52">
        <v>1</v>
      </c>
      <c r="H52" s="42">
        <v>68</v>
      </c>
      <c r="I52" s="42">
        <v>154</v>
      </c>
      <c r="J52">
        <v>23.413062283737023</v>
      </c>
      <c r="K52">
        <v>20</v>
      </c>
      <c r="L52" s="42">
        <v>1</v>
      </c>
      <c r="M52" t="s">
        <v>15</v>
      </c>
      <c r="N52">
        <v>15</v>
      </c>
      <c r="O52">
        <v>2</v>
      </c>
      <c r="P52">
        <v>0</v>
      </c>
      <c r="Q52">
        <v>0</v>
      </c>
      <c r="R52" s="2">
        <v>0</v>
      </c>
      <c r="S52" s="46">
        <v>98</v>
      </c>
      <c r="T52" s="46">
        <v>0</v>
      </c>
      <c r="U52" s="46">
        <v>0</v>
      </c>
      <c r="V52" s="46">
        <v>0</v>
      </c>
      <c r="W52">
        <v>0</v>
      </c>
      <c r="X52">
        <v>4.0999999999999996</v>
      </c>
      <c r="Y52">
        <v>4</v>
      </c>
      <c r="Z52" s="31">
        <v>3.8</v>
      </c>
      <c r="AA52" s="31">
        <v>3.7</v>
      </c>
      <c r="AB52" s="49">
        <v>3.8999999999999995</v>
      </c>
      <c r="AC52" s="46">
        <v>100</v>
      </c>
      <c r="AD52" s="46">
        <v>0</v>
      </c>
      <c r="AE52" s="46">
        <v>0</v>
      </c>
      <c r="AF52">
        <v>0</v>
      </c>
      <c r="AG52">
        <v>4.5</v>
      </c>
      <c r="AH52">
        <v>4.4000000000000004</v>
      </c>
      <c r="AI52" s="31">
        <v>4.0999999999999996</v>
      </c>
      <c r="AJ52" s="31">
        <v>4.5999999999999996</v>
      </c>
      <c r="AK52" s="49">
        <v>4.4000000000000004</v>
      </c>
      <c r="AL52" s="46">
        <v>100</v>
      </c>
      <c r="AM52" s="46">
        <v>0</v>
      </c>
      <c r="AN52" s="46">
        <v>0</v>
      </c>
      <c r="AO52">
        <v>0</v>
      </c>
      <c r="AP52">
        <v>4.0999999999999996</v>
      </c>
      <c r="AQ52">
        <v>4.4000000000000004</v>
      </c>
      <c r="AR52" s="31">
        <v>3.9</v>
      </c>
      <c r="AS52" s="31">
        <v>4.5999999999999996</v>
      </c>
      <c r="AT52" s="52">
        <v>4.25</v>
      </c>
      <c r="AU52" s="1">
        <v>0</v>
      </c>
      <c r="AV52" s="1">
        <v>0</v>
      </c>
      <c r="AW52">
        <v>0</v>
      </c>
      <c r="AX52">
        <v>0</v>
      </c>
      <c r="AY52">
        <v>0</v>
      </c>
      <c r="AZ52">
        <v>-2</v>
      </c>
      <c r="BA52">
        <v>-2</v>
      </c>
      <c r="BB52">
        <v>0</v>
      </c>
      <c r="BC52">
        <v>0</v>
      </c>
      <c r="BD52" s="36">
        <v>5.8</v>
      </c>
      <c r="BE52" s="31">
        <v>5.8</v>
      </c>
      <c r="BF52" s="26">
        <v>5.8</v>
      </c>
      <c r="BG52" s="26">
        <v>6.1</v>
      </c>
      <c r="BI52">
        <f t="shared" si="0"/>
        <v>2</v>
      </c>
      <c r="BJ52">
        <f t="shared" si="1"/>
        <v>0</v>
      </c>
      <c r="BK52">
        <f t="shared" si="2"/>
        <v>0</v>
      </c>
      <c r="BL52" s="53">
        <f t="shared" si="3"/>
        <v>0.50000000000000089</v>
      </c>
      <c r="BM52">
        <f t="shared" si="4"/>
        <v>0</v>
      </c>
      <c r="BN52">
        <f t="shared" si="5"/>
        <v>0</v>
      </c>
      <c r="BO52">
        <f t="shared" si="6"/>
        <v>0</v>
      </c>
      <c r="BP52" s="53">
        <f t="shared" si="7"/>
        <v>-0.15000000000000036</v>
      </c>
      <c r="BQ52">
        <f t="shared" si="8"/>
        <v>2</v>
      </c>
      <c r="BR52">
        <f t="shared" si="9"/>
        <v>0</v>
      </c>
      <c r="BS52">
        <f t="shared" si="10"/>
        <v>0</v>
      </c>
      <c r="BT52" s="53">
        <f t="shared" si="11"/>
        <v>0.35000000000000053</v>
      </c>
    </row>
    <row r="53" spans="1:72" x14ac:dyDescent="0.2">
      <c r="A53" t="s">
        <v>18</v>
      </c>
      <c r="B53">
        <v>26</v>
      </c>
      <c r="C53" s="2">
        <v>2</v>
      </c>
      <c r="D53">
        <v>1</v>
      </c>
      <c r="E53">
        <v>1</v>
      </c>
      <c r="F53">
        <v>1</v>
      </c>
      <c r="G53">
        <v>1</v>
      </c>
      <c r="H53" s="42">
        <v>68</v>
      </c>
      <c r="I53" s="42">
        <v>154</v>
      </c>
      <c r="J53">
        <v>23.413062283737023</v>
      </c>
      <c r="K53">
        <v>20</v>
      </c>
      <c r="L53" s="42">
        <v>1</v>
      </c>
      <c r="M53" t="s">
        <v>15</v>
      </c>
      <c r="N53">
        <v>15</v>
      </c>
      <c r="O53">
        <v>2</v>
      </c>
      <c r="P53">
        <v>0</v>
      </c>
      <c r="Q53">
        <v>0</v>
      </c>
      <c r="R53" s="2">
        <v>0</v>
      </c>
      <c r="S53" s="46">
        <v>98</v>
      </c>
      <c r="T53" s="46">
        <v>0</v>
      </c>
      <c r="U53" s="46">
        <v>0</v>
      </c>
      <c r="V53" s="46">
        <v>0</v>
      </c>
      <c r="W53">
        <v>0</v>
      </c>
      <c r="X53">
        <v>3.3</v>
      </c>
      <c r="Y53">
        <v>3.3</v>
      </c>
      <c r="Z53" s="31">
        <v>3.2</v>
      </c>
      <c r="AA53" s="31">
        <v>3.3</v>
      </c>
      <c r="AB53" s="49">
        <v>3.2750000000000004</v>
      </c>
      <c r="AC53" s="46">
        <v>100</v>
      </c>
      <c r="AD53" s="46">
        <v>0</v>
      </c>
      <c r="AE53" s="46">
        <v>0</v>
      </c>
      <c r="AF53">
        <v>0</v>
      </c>
      <c r="AG53">
        <v>3.7</v>
      </c>
      <c r="AH53">
        <v>4</v>
      </c>
      <c r="AI53" s="31">
        <v>3.9</v>
      </c>
      <c r="AJ53" s="31">
        <v>4.3</v>
      </c>
      <c r="AK53" s="49">
        <v>3.9749999999999996</v>
      </c>
      <c r="AL53" s="46">
        <v>100</v>
      </c>
      <c r="AM53" s="46">
        <v>0</v>
      </c>
      <c r="AN53" s="46">
        <v>0</v>
      </c>
      <c r="AO53">
        <v>0</v>
      </c>
      <c r="AP53">
        <v>4</v>
      </c>
      <c r="AQ53">
        <v>4</v>
      </c>
      <c r="AR53" s="31">
        <v>3.8</v>
      </c>
      <c r="AS53" s="31">
        <v>3.9</v>
      </c>
      <c r="AT53" s="52">
        <v>3.9250000000000003</v>
      </c>
      <c r="AU53" s="1">
        <v>0</v>
      </c>
      <c r="AV53" s="1">
        <v>0</v>
      </c>
      <c r="AW53">
        <v>0</v>
      </c>
      <c r="AX53">
        <v>0</v>
      </c>
      <c r="AY53">
        <v>0</v>
      </c>
      <c r="AZ53">
        <v>-2</v>
      </c>
      <c r="BA53">
        <v>-2</v>
      </c>
      <c r="BB53">
        <v>0</v>
      </c>
      <c r="BC53">
        <v>0</v>
      </c>
      <c r="BD53" s="36">
        <v>5.7</v>
      </c>
      <c r="BE53" s="31">
        <v>5.5</v>
      </c>
      <c r="BF53" s="26">
        <v>5.7</v>
      </c>
      <c r="BG53" s="26">
        <v>5.8</v>
      </c>
      <c r="BI53">
        <f t="shared" si="0"/>
        <v>2</v>
      </c>
      <c r="BJ53">
        <f t="shared" si="1"/>
        <v>0</v>
      </c>
      <c r="BK53">
        <f t="shared" si="2"/>
        <v>0</v>
      </c>
      <c r="BL53" s="53">
        <f t="shared" si="3"/>
        <v>0.69999999999999929</v>
      </c>
      <c r="BM53">
        <f t="shared" si="4"/>
        <v>0</v>
      </c>
      <c r="BN53">
        <f t="shared" si="5"/>
        <v>0</v>
      </c>
      <c r="BO53">
        <f t="shared" si="6"/>
        <v>0</v>
      </c>
      <c r="BP53" s="53">
        <f t="shared" si="7"/>
        <v>-4.9999999999999378E-2</v>
      </c>
      <c r="BQ53">
        <f t="shared" si="8"/>
        <v>2</v>
      </c>
      <c r="BR53">
        <f t="shared" si="9"/>
        <v>0</v>
      </c>
      <c r="BS53">
        <f t="shared" si="10"/>
        <v>0</v>
      </c>
      <c r="BT53" s="53">
        <f t="shared" si="11"/>
        <v>0.64999999999999991</v>
      </c>
    </row>
    <row r="54" spans="1:72" x14ac:dyDescent="0.2">
      <c r="A54" t="s">
        <v>17</v>
      </c>
      <c r="B54">
        <v>27</v>
      </c>
      <c r="C54" s="2">
        <v>2</v>
      </c>
      <c r="D54">
        <v>1</v>
      </c>
      <c r="E54">
        <v>1</v>
      </c>
      <c r="F54">
        <v>1</v>
      </c>
      <c r="G54">
        <v>1</v>
      </c>
      <c r="H54" s="42">
        <v>82</v>
      </c>
      <c r="I54" s="42">
        <v>222</v>
      </c>
      <c r="J54">
        <v>23.210291493158831</v>
      </c>
      <c r="K54">
        <v>21</v>
      </c>
      <c r="L54" s="42">
        <v>2</v>
      </c>
      <c r="M54" t="s">
        <v>15</v>
      </c>
      <c r="N54">
        <v>11</v>
      </c>
      <c r="O54" s="6"/>
      <c r="P54">
        <v>0</v>
      </c>
      <c r="Q54">
        <v>0</v>
      </c>
      <c r="R54" s="2">
        <v>0</v>
      </c>
      <c r="S54" s="46">
        <v>100</v>
      </c>
      <c r="T54" s="46">
        <v>0</v>
      </c>
      <c r="U54" s="46">
        <v>0</v>
      </c>
      <c r="V54" s="46">
        <v>0</v>
      </c>
      <c r="W54">
        <v>0</v>
      </c>
      <c r="X54">
        <v>4</v>
      </c>
      <c r="Y54">
        <v>3.6</v>
      </c>
      <c r="Z54" s="31">
        <v>4.5999999999999996</v>
      </c>
      <c r="AA54" s="31">
        <v>3.5</v>
      </c>
      <c r="AB54" s="49">
        <v>3.9249999999999998</v>
      </c>
      <c r="AC54" s="46">
        <v>100</v>
      </c>
      <c r="AD54" s="46">
        <v>0</v>
      </c>
      <c r="AE54" s="46">
        <v>0</v>
      </c>
      <c r="AF54">
        <v>0</v>
      </c>
      <c r="AG54">
        <v>4</v>
      </c>
      <c r="AH54">
        <v>4</v>
      </c>
      <c r="AI54" s="31">
        <v>4.3</v>
      </c>
      <c r="AJ54" s="31">
        <v>4.5</v>
      </c>
      <c r="AK54" s="49">
        <v>4.2</v>
      </c>
      <c r="AL54" s="46">
        <v>99</v>
      </c>
      <c r="AM54" s="46">
        <v>0</v>
      </c>
      <c r="AN54" s="46">
        <v>0</v>
      </c>
      <c r="AO54">
        <v>0</v>
      </c>
      <c r="AP54">
        <v>4</v>
      </c>
      <c r="AQ54">
        <v>4.7</v>
      </c>
      <c r="AR54" s="31">
        <v>3.8</v>
      </c>
      <c r="AS54" s="31">
        <v>4.5999999999999996</v>
      </c>
      <c r="AT54" s="52">
        <v>4.2750000000000004</v>
      </c>
      <c r="AU54" s="1">
        <v>0</v>
      </c>
      <c r="AV54" s="1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 s="1">
        <v>4.2</v>
      </c>
      <c r="BE54" s="31">
        <v>4.0999999999999996</v>
      </c>
      <c r="BF54">
        <v>4.2</v>
      </c>
      <c r="BG54">
        <v>4.4000000000000004</v>
      </c>
      <c r="BI54">
        <f t="shared" si="0"/>
        <v>0</v>
      </c>
      <c r="BJ54">
        <f t="shared" si="1"/>
        <v>0</v>
      </c>
      <c r="BK54">
        <f t="shared" si="2"/>
        <v>0</v>
      </c>
      <c r="BL54" s="53">
        <f t="shared" si="3"/>
        <v>0.27500000000000036</v>
      </c>
      <c r="BM54">
        <f t="shared" si="4"/>
        <v>-1</v>
      </c>
      <c r="BN54">
        <f t="shared" si="5"/>
        <v>0</v>
      </c>
      <c r="BO54">
        <f t="shared" si="6"/>
        <v>0</v>
      </c>
      <c r="BP54" s="53">
        <f t="shared" si="7"/>
        <v>7.5000000000000178E-2</v>
      </c>
      <c r="BQ54">
        <f t="shared" si="8"/>
        <v>-1</v>
      </c>
      <c r="BR54">
        <f t="shared" si="9"/>
        <v>0</v>
      </c>
      <c r="BS54">
        <f t="shared" si="10"/>
        <v>0</v>
      </c>
      <c r="BT54" s="53">
        <f t="shared" si="11"/>
        <v>0.35000000000000053</v>
      </c>
    </row>
    <row r="55" spans="1:72" x14ac:dyDescent="0.2">
      <c r="A55" t="s">
        <v>16</v>
      </c>
      <c r="B55">
        <v>27</v>
      </c>
      <c r="C55" s="2">
        <v>2</v>
      </c>
      <c r="D55">
        <v>1</v>
      </c>
      <c r="E55">
        <v>1</v>
      </c>
      <c r="F55">
        <v>1</v>
      </c>
      <c r="G55">
        <v>1</v>
      </c>
      <c r="H55" s="42">
        <v>82</v>
      </c>
      <c r="I55" s="42">
        <v>222</v>
      </c>
      <c r="J55">
        <v>23.210291493158831</v>
      </c>
      <c r="K55">
        <v>21</v>
      </c>
      <c r="L55" s="42">
        <v>2</v>
      </c>
      <c r="M55" t="s">
        <v>15</v>
      </c>
      <c r="N55">
        <v>11</v>
      </c>
      <c r="O55" s="6"/>
      <c r="P55">
        <v>0</v>
      </c>
      <c r="Q55">
        <v>0</v>
      </c>
      <c r="R55" s="2">
        <v>0</v>
      </c>
      <c r="S55" s="46">
        <v>100</v>
      </c>
      <c r="T55" s="46">
        <v>0</v>
      </c>
      <c r="U55" s="46">
        <v>0</v>
      </c>
      <c r="V55" s="46">
        <v>0</v>
      </c>
      <c r="W55">
        <v>0</v>
      </c>
      <c r="X55">
        <v>4.3</v>
      </c>
      <c r="Y55">
        <v>4.5</v>
      </c>
      <c r="Z55" s="31">
        <v>4.4000000000000004</v>
      </c>
      <c r="AA55" s="31">
        <v>4.5999999999999996</v>
      </c>
      <c r="AB55" s="49">
        <v>4.45</v>
      </c>
      <c r="AC55" s="46">
        <v>100</v>
      </c>
      <c r="AD55" s="46">
        <v>0</v>
      </c>
      <c r="AE55" s="46">
        <v>0</v>
      </c>
      <c r="AF55">
        <v>0</v>
      </c>
      <c r="AG55">
        <v>4</v>
      </c>
      <c r="AH55">
        <v>4.5</v>
      </c>
      <c r="AI55" s="31">
        <v>4.4000000000000004</v>
      </c>
      <c r="AJ55" s="31">
        <v>5.2</v>
      </c>
      <c r="AK55" s="49">
        <v>4.5250000000000004</v>
      </c>
      <c r="AL55" s="46">
        <v>99</v>
      </c>
      <c r="AM55" s="46">
        <v>0</v>
      </c>
      <c r="AN55" s="46">
        <v>0</v>
      </c>
      <c r="AO55">
        <v>0</v>
      </c>
      <c r="AP55">
        <v>3.7</v>
      </c>
      <c r="AQ55">
        <v>4</v>
      </c>
      <c r="AR55" s="31">
        <v>3.7</v>
      </c>
      <c r="AS55" s="31">
        <v>3.5</v>
      </c>
      <c r="AT55" s="52">
        <v>3.7250000000000001</v>
      </c>
      <c r="AU55" s="1">
        <v>0</v>
      </c>
      <c r="AV55" s="1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 s="1">
        <v>7.3</v>
      </c>
      <c r="BE55" s="31">
        <v>7.2</v>
      </c>
      <c r="BF55">
        <v>7.3</v>
      </c>
      <c r="BG55">
        <v>7.5</v>
      </c>
      <c r="BI55">
        <f t="shared" si="0"/>
        <v>0</v>
      </c>
      <c r="BJ55">
        <f t="shared" si="1"/>
        <v>0</v>
      </c>
      <c r="BK55">
        <f t="shared" si="2"/>
        <v>0</v>
      </c>
      <c r="BL55" s="53">
        <f t="shared" si="3"/>
        <v>7.5000000000000178E-2</v>
      </c>
      <c r="BM55">
        <f t="shared" si="4"/>
        <v>-1</v>
      </c>
      <c r="BN55">
        <f t="shared" si="5"/>
        <v>0</v>
      </c>
      <c r="BO55">
        <f t="shared" si="6"/>
        <v>0</v>
      </c>
      <c r="BP55" s="53">
        <f t="shared" si="7"/>
        <v>-0.80000000000000027</v>
      </c>
      <c r="BQ55">
        <f t="shared" si="8"/>
        <v>-1</v>
      </c>
      <c r="BR55">
        <f t="shared" si="9"/>
        <v>0</v>
      </c>
      <c r="BS55">
        <f t="shared" si="10"/>
        <v>0</v>
      </c>
      <c r="BT55" s="53">
        <f t="shared" si="11"/>
        <v>-0.72500000000000009</v>
      </c>
    </row>
    <row r="56" spans="1:72" x14ac:dyDescent="0.2">
      <c r="A56" t="s">
        <v>14</v>
      </c>
      <c r="B56">
        <v>28</v>
      </c>
      <c r="C56" s="2">
        <v>2</v>
      </c>
      <c r="D56">
        <v>1</v>
      </c>
      <c r="E56">
        <v>1</v>
      </c>
      <c r="F56">
        <v>1</v>
      </c>
      <c r="G56">
        <v>1</v>
      </c>
      <c r="H56" s="42">
        <v>70</v>
      </c>
      <c r="I56" s="42">
        <v>170</v>
      </c>
      <c r="J56">
        <v>24.389795918367348</v>
      </c>
      <c r="K56">
        <v>23</v>
      </c>
      <c r="L56" s="42">
        <v>1</v>
      </c>
      <c r="M56" t="s">
        <v>12</v>
      </c>
      <c r="N56">
        <v>15</v>
      </c>
      <c r="O56">
        <v>15</v>
      </c>
      <c r="P56">
        <v>1</v>
      </c>
      <c r="Q56">
        <v>0</v>
      </c>
      <c r="R56" s="2">
        <v>0</v>
      </c>
      <c r="S56" s="46">
        <v>100</v>
      </c>
      <c r="T56" s="46">
        <v>0</v>
      </c>
      <c r="U56" s="46">
        <v>0</v>
      </c>
      <c r="V56" s="46">
        <v>0</v>
      </c>
      <c r="W56">
        <v>0</v>
      </c>
      <c r="X56">
        <v>3.5</v>
      </c>
      <c r="Y56">
        <v>3.6</v>
      </c>
      <c r="Z56" s="31">
        <v>3.8</v>
      </c>
      <c r="AA56" s="31">
        <v>3.5</v>
      </c>
      <c r="AB56" s="49">
        <v>3.5999999999999996</v>
      </c>
      <c r="AC56" s="46">
        <v>76</v>
      </c>
      <c r="AD56" s="46">
        <v>1</v>
      </c>
      <c r="AE56" s="46">
        <v>0</v>
      </c>
      <c r="AF56">
        <v>1</v>
      </c>
      <c r="AG56">
        <v>3.7</v>
      </c>
      <c r="AH56">
        <v>3.8</v>
      </c>
      <c r="AI56" s="31">
        <v>3.7</v>
      </c>
      <c r="AJ56" s="31">
        <v>4.0999999999999996</v>
      </c>
      <c r="AK56" s="49">
        <v>3.8249999999999997</v>
      </c>
      <c r="AL56" s="46">
        <v>100</v>
      </c>
      <c r="AM56" s="46">
        <v>0</v>
      </c>
      <c r="AN56" s="46">
        <v>0</v>
      </c>
      <c r="AO56">
        <v>1</v>
      </c>
      <c r="AP56">
        <v>3.4</v>
      </c>
      <c r="AQ56">
        <v>3.5</v>
      </c>
      <c r="AR56" s="31">
        <v>3.4</v>
      </c>
      <c r="AS56" s="31">
        <v>3.4</v>
      </c>
      <c r="AT56" s="52">
        <v>3.4250000000000003</v>
      </c>
      <c r="AU56" s="1">
        <v>0</v>
      </c>
      <c r="AV56" s="1">
        <v>0</v>
      </c>
      <c r="AW56">
        <v>0</v>
      </c>
      <c r="AX56">
        <v>1</v>
      </c>
      <c r="AY56">
        <v>0</v>
      </c>
      <c r="AZ56">
        <v>24</v>
      </c>
      <c r="BA56">
        <v>0</v>
      </c>
      <c r="BB56">
        <v>1</v>
      </c>
      <c r="BC56">
        <v>1</v>
      </c>
      <c r="BD56" s="1">
        <v>4</v>
      </c>
      <c r="BE56" s="31">
        <v>4.2</v>
      </c>
      <c r="BF56">
        <v>4</v>
      </c>
      <c r="BG56">
        <v>4.2</v>
      </c>
      <c r="BI56">
        <f t="shared" si="0"/>
        <v>-24</v>
      </c>
      <c r="BJ56">
        <f t="shared" si="1"/>
        <v>1</v>
      </c>
      <c r="BK56">
        <f t="shared" si="2"/>
        <v>0</v>
      </c>
      <c r="BL56" s="53">
        <f t="shared" si="3"/>
        <v>0.22500000000000009</v>
      </c>
      <c r="BM56">
        <f t="shared" si="4"/>
        <v>24</v>
      </c>
      <c r="BN56">
        <f t="shared" si="5"/>
        <v>-1</v>
      </c>
      <c r="BO56">
        <f t="shared" si="6"/>
        <v>0</v>
      </c>
      <c r="BP56" s="53">
        <f t="shared" si="7"/>
        <v>-0.39999999999999947</v>
      </c>
      <c r="BQ56">
        <f t="shared" si="8"/>
        <v>0</v>
      </c>
      <c r="BR56">
        <f t="shared" si="9"/>
        <v>0</v>
      </c>
      <c r="BS56">
        <f t="shared" si="10"/>
        <v>0</v>
      </c>
      <c r="BT56" s="53">
        <f t="shared" si="11"/>
        <v>-0.17499999999999938</v>
      </c>
    </row>
    <row r="57" spans="1:72" x14ac:dyDescent="0.2">
      <c r="A57" t="s">
        <v>13</v>
      </c>
      <c r="B57">
        <v>28</v>
      </c>
      <c r="C57" s="2">
        <v>2</v>
      </c>
      <c r="D57">
        <v>1</v>
      </c>
      <c r="E57">
        <v>1</v>
      </c>
      <c r="F57">
        <v>1</v>
      </c>
      <c r="G57">
        <v>1</v>
      </c>
      <c r="H57" s="42">
        <v>70</v>
      </c>
      <c r="I57" s="42">
        <v>170</v>
      </c>
      <c r="J57">
        <v>24.389795918367348</v>
      </c>
      <c r="K57">
        <v>23</v>
      </c>
      <c r="L57" s="42">
        <v>1</v>
      </c>
      <c r="M57" t="s">
        <v>12</v>
      </c>
      <c r="N57">
        <v>15</v>
      </c>
      <c r="O57">
        <v>15</v>
      </c>
      <c r="P57">
        <v>1</v>
      </c>
      <c r="Q57">
        <v>0</v>
      </c>
      <c r="R57" s="2">
        <v>0</v>
      </c>
      <c r="S57" s="46">
        <v>100</v>
      </c>
      <c r="T57" s="46">
        <v>0</v>
      </c>
      <c r="U57" s="46">
        <v>0</v>
      </c>
      <c r="V57" s="46">
        <v>0</v>
      </c>
      <c r="W57">
        <v>0</v>
      </c>
      <c r="X57">
        <v>3.6</v>
      </c>
      <c r="Y57">
        <v>3.7</v>
      </c>
      <c r="Z57" s="31">
        <v>3.6</v>
      </c>
      <c r="AA57" s="31">
        <v>3.8</v>
      </c>
      <c r="AB57" s="49">
        <v>3.6749999999999998</v>
      </c>
      <c r="AC57" s="46">
        <v>85</v>
      </c>
      <c r="AD57" s="46">
        <v>1</v>
      </c>
      <c r="AE57" s="46">
        <v>0</v>
      </c>
      <c r="AF57">
        <v>1</v>
      </c>
      <c r="AG57">
        <v>4.2</v>
      </c>
      <c r="AH57">
        <v>4.4000000000000004</v>
      </c>
      <c r="AI57" s="31">
        <v>4.3</v>
      </c>
      <c r="AJ57" s="31">
        <v>4.5999999999999996</v>
      </c>
      <c r="AK57" s="49">
        <v>4.375</v>
      </c>
      <c r="AL57" s="46">
        <v>99</v>
      </c>
      <c r="AM57" s="46">
        <v>0</v>
      </c>
      <c r="AN57" s="46">
        <v>0</v>
      </c>
      <c r="AO57">
        <v>1</v>
      </c>
      <c r="AP57" s="7">
        <v>4.8</v>
      </c>
      <c r="AQ57" s="7">
        <v>4.4000000000000004</v>
      </c>
      <c r="AR57" s="31">
        <v>4.8</v>
      </c>
      <c r="AS57" s="31">
        <v>4.5999999999999996</v>
      </c>
      <c r="AT57" s="52">
        <v>4.6500000000000004</v>
      </c>
      <c r="AU57" s="1">
        <v>0</v>
      </c>
      <c r="AV57" s="1">
        <v>0</v>
      </c>
      <c r="AW57">
        <v>0</v>
      </c>
      <c r="AX57">
        <v>0</v>
      </c>
      <c r="AY57">
        <v>0</v>
      </c>
      <c r="AZ57">
        <v>15</v>
      </c>
      <c r="BA57">
        <v>1</v>
      </c>
      <c r="BB57">
        <v>1</v>
      </c>
      <c r="BC57">
        <v>1</v>
      </c>
      <c r="BD57" s="1">
        <v>3.6</v>
      </c>
      <c r="BE57" s="31">
        <v>3.3</v>
      </c>
      <c r="BF57">
        <v>3.6</v>
      </c>
      <c r="BG57">
        <v>3.6</v>
      </c>
      <c r="BI57">
        <f t="shared" si="0"/>
        <v>-15</v>
      </c>
      <c r="BJ57">
        <f t="shared" si="1"/>
        <v>1</v>
      </c>
      <c r="BK57">
        <f t="shared" si="2"/>
        <v>0</v>
      </c>
      <c r="BL57" s="53">
        <f t="shared" si="3"/>
        <v>0.70000000000000018</v>
      </c>
      <c r="BM57">
        <f t="shared" si="4"/>
        <v>14</v>
      </c>
      <c r="BN57">
        <f t="shared" si="5"/>
        <v>-1</v>
      </c>
      <c r="BO57">
        <f t="shared" si="6"/>
        <v>0</v>
      </c>
      <c r="BP57" s="53">
        <f t="shared" si="7"/>
        <v>0.27500000000000036</v>
      </c>
      <c r="BQ57">
        <f t="shared" si="8"/>
        <v>-1</v>
      </c>
      <c r="BR57">
        <f t="shared" si="9"/>
        <v>0</v>
      </c>
      <c r="BS57">
        <f t="shared" si="10"/>
        <v>0</v>
      </c>
      <c r="BT57" s="53">
        <f t="shared" si="11"/>
        <v>0.97500000000000053</v>
      </c>
    </row>
    <row r="58" spans="1:72" x14ac:dyDescent="0.2">
      <c r="A58" t="s">
        <v>11</v>
      </c>
      <c r="B58">
        <v>29</v>
      </c>
      <c r="C58" s="2">
        <v>2</v>
      </c>
      <c r="D58">
        <v>1</v>
      </c>
      <c r="E58">
        <v>0</v>
      </c>
      <c r="F58">
        <v>0</v>
      </c>
      <c r="G58">
        <v>1</v>
      </c>
      <c r="H58" s="42">
        <v>80</v>
      </c>
      <c r="I58" s="42">
        <v>215</v>
      </c>
      <c r="J58">
        <v>23.616406250000001</v>
      </c>
      <c r="K58">
        <v>21</v>
      </c>
      <c r="L58" s="42">
        <v>2</v>
      </c>
      <c r="M58" t="s">
        <v>0</v>
      </c>
      <c r="N58">
        <v>15</v>
      </c>
      <c r="O58">
        <v>5</v>
      </c>
      <c r="P58">
        <v>1</v>
      </c>
      <c r="Q58">
        <v>0</v>
      </c>
      <c r="R58" s="2">
        <v>1</v>
      </c>
      <c r="S58" s="46">
        <v>75</v>
      </c>
      <c r="T58" s="46">
        <v>0</v>
      </c>
      <c r="U58" s="46">
        <v>0</v>
      </c>
      <c r="V58" s="46">
        <v>1</v>
      </c>
      <c r="W58">
        <v>1</v>
      </c>
      <c r="X58" s="26">
        <v>5.8</v>
      </c>
      <c r="Y58" s="26">
        <v>6.1</v>
      </c>
      <c r="Z58" s="31">
        <v>5.8</v>
      </c>
      <c r="AA58" s="31">
        <v>6.1</v>
      </c>
      <c r="AB58" s="49">
        <v>5.9499999999999993</v>
      </c>
      <c r="AC58" s="46">
        <v>62</v>
      </c>
      <c r="AD58" s="46">
        <v>1</v>
      </c>
      <c r="AE58" s="46">
        <v>0</v>
      </c>
      <c r="AF58">
        <v>1</v>
      </c>
      <c r="AG58" s="4">
        <v>7.2</v>
      </c>
      <c r="AH58" s="4">
        <v>6.9</v>
      </c>
      <c r="AI58" s="31">
        <v>7.1</v>
      </c>
      <c r="AJ58" s="31">
        <v>6.9</v>
      </c>
      <c r="AK58" s="49">
        <v>7.0250000000000004</v>
      </c>
      <c r="AL58" s="46">
        <v>72</v>
      </c>
      <c r="AM58" s="46">
        <v>0</v>
      </c>
      <c r="AN58" s="46">
        <v>0</v>
      </c>
      <c r="AO58">
        <v>1</v>
      </c>
      <c r="AP58" s="4">
        <v>7.2</v>
      </c>
      <c r="AQ58" s="4">
        <v>6.9</v>
      </c>
      <c r="AR58" s="31">
        <v>7.6</v>
      </c>
      <c r="AS58" s="31">
        <v>7</v>
      </c>
      <c r="AT58" s="52">
        <v>7.1750000000000007</v>
      </c>
      <c r="AU58" s="1">
        <v>0</v>
      </c>
      <c r="AV58" s="1">
        <v>0</v>
      </c>
      <c r="AW58">
        <v>0</v>
      </c>
      <c r="AX58">
        <v>1</v>
      </c>
      <c r="AY58">
        <v>1</v>
      </c>
      <c r="AZ58">
        <v>13</v>
      </c>
      <c r="BA58">
        <v>3</v>
      </c>
      <c r="BB58">
        <v>1</v>
      </c>
      <c r="BC58">
        <v>1</v>
      </c>
      <c r="BD58" s="1">
        <v>5.0999999999999996</v>
      </c>
      <c r="BE58" s="31">
        <v>5</v>
      </c>
      <c r="BF58">
        <v>5.0999999999999996</v>
      </c>
      <c r="BG58">
        <v>5.0999999999999996</v>
      </c>
      <c r="BI58">
        <f t="shared" si="0"/>
        <v>-13</v>
      </c>
      <c r="BJ58">
        <f t="shared" si="1"/>
        <v>1</v>
      </c>
      <c r="BK58">
        <f t="shared" si="2"/>
        <v>0</v>
      </c>
      <c r="BL58" s="53">
        <f t="shared" si="3"/>
        <v>1.0750000000000011</v>
      </c>
      <c r="BM58">
        <f t="shared" si="4"/>
        <v>10</v>
      </c>
      <c r="BN58">
        <f t="shared" si="5"/>
        <v>-1</v>
      </c>
      <c r="BO58">
        <f t="shared" si="6"/>
        <v>0</v>
      </c>
      <c r="BP58" s="53">
        <f t="shared" si="7"/>
        <v>0.15000000000000036</v>
      </c>
      <c r="BQ58">
        <f t="shared" si="8"/>
        <v>-3</v>
      </c>
      <c r="BR58">
        <f t="shared" si="9"/>
        <v>0</v>
      </c>
      <c r="BS58">
        <f t="shared" si="10"/>
        <v>0</v>
      </c>
      <c r="BT58" s="53">
        <f t="shared" si="11"/>
        <v>1.2250000000000014</v>
      </c>
    </row>
    <row r="59" spans="1:72" x14ac:dyDescent="0.2">
      <c r="A59" t="s">
        <v>10</v>
      </c>
      <c r="B59">
        <v>29</v>
      </c>
      <c r="C59" s="2">
        <v>2</v>
      </c>
      <c r="D59">
        <v>1</v>
      </c>
      <c r="E59">
        <v>0</v>
      </c>
      <c r="F59">
        <v>0</v>
      </c>
      <c r="G59">
        <v>1</v>
      </c>
      <c r="H59" s="42">
        <v>80</v>
      </c>
      <c r="I59" s="42">
        <v>215</v>
      </c>
      <c r="J59">
        <v>23.616406250000001</v>
      </c>
      <c r="K59">
        <v>21</v>
      </c>
      <c r="L59" s="42">
        <v>2</v>
      </c>
      <c r="M59" t="s">
        <v>0</v>
      </c>
      <c r="N59">
        <v>15</v>
      </c>
      <c r="O59">
        <v>5</v>
      </c>
      <c r="P59">
        <v>1</v>
      </c>
      <c r="Q59">
        <v>0</v>
      </c>
      <c r="R59" s="2">
        <v>1</v>
      </c>
      <c r="S59" s="46">
        <v>73</v>
      </c>
      <c r="T59" s="46">
        <v>1</v>
      </c>
      <c r="U59" s="46">
        <v>0</v>
      </c>
      <c r="V59" s="46">
        <v>1</v>
      </c>
      <c r="W59">
        <v>1</v>
      </c>
      <c r="X59" s="26">
        <v>5.7</v>
      </c>
      <c r="Y59" s="26">
        <v>5.8</v>
      </c>
      <c r="Z59" s="31">
        <v>5.5</v>
      </c>
      <c r="AA59" s="31">
        <v>6</v>
      </c>
      <c r="AB59" s="49">
        <v>5.75</v>
      </c>
      <c r="AC59" s="46">
        <v>62</v>
      </c>
      <c r="AD59" s="46">
        <v>1</v>
      </c>
      <c r="AE59" s="46">
        <v>0</v>
      </c>
      <c r="AF59">
        <v>1</v>
      </c>
      <c r="AG59" s="4">
        <v>7.9</v>
      </c>
      <c r="AH59" s="4">
        <v>7.4</v>
      </c>
      <c r="AI59" s="31">
        <v>8.1</v>
      </c>
      <c r="AJ59" s="31">
        <v>7.4</v>
      </c>
      <c r="AK59" s="49">
        <v>7.6999999999999993</v>
      </c>
      <c r="AL59" s="46">
        <v>72</v>
      </c>
      <c r="AM59" s="46">
        <v>1</v>
      </c>
      <c r="AN59" s="46">
        <v>0</v>
      </c>
      <c r="AO59">
        <v>1</v>
      </c>
      <c r="AP59" s="4">
        <v>7.5</v>
      </c>
      <c r="AQ59" s="4">
        <v>7.9</v>
      </c>
      <c r="AR59" s="31">
        <v>7.4</v>
      </c>
      <c r="AS59" s="31">
        <v>7.4</v>
      </c>
      <c r="AT59" s="52">
        <v>7.5500000000000007</v>
      </c>
      <c r="AU59" s="1">
        <v>0</v>
      </c>
      <c r="AV59" s="1">
        <v>0</v>
      </c>
      <c r="AW59">
        <v>0</v>
      </c>
      <c r="AX59">
        <v>1</v>
      </c>
      <c r="AY59">
        <v>1</v>
      </c>
      <c r="AZ59">
        <v>11</v>
      </c>
      <c r="BA59">
        <v>1</v>
      </c>
      <c r="BB59">
        <v>0</v>
      </c>
      <c r="BC59">
        <v>1</v>
      </c>
      <c r="BD59" s="1">
        <v>4.4000000000000004</v>
      </c>
      <c r="BE59" s="31">
        <v>4.5999999999999996</v>
      </c>
      <c r="BF59">
        <v>4.4000000000000004</v>
      </c>
      <c r="BG59">
        <v>4.5</v>
      </c>
      <c r="BI59">
        <f t="shared" si="0"/>
        <v>-11</v>
      </c>
      <c r="BJ59">
        <f t="shared" si="1"/>
        <v>0</v>
      </c>
      <c r="BK59">
        <f t="shared" si="2"/>
        <v>0</v>
      </c>
      <c r="BL59" s="53">
        <f t="shared" si="3"/>
        <v>1.9499999999999993</v>
      </c>
      <c r="BM59">
        <f t="shared" si="4"/>
        <v>10</v>
      </c>
      <c r="BN59">
        <f t="shared" si="5"/>
        <v>0</v>
      </c>
      <c r="BO59">
        <f t="shared" si="6"/>
        <v>0</v>
      </c>
      <c r="BP59" s="53">
        <f t="shared" si="7"/>
        <v>-0.14999999999999858</v>
      </c>
      <c r="BQ59">
        <f t="shared" si="8"/>
        <v>-1</v>
      </c>
      <c r="BR59">
        <f t="shared" si="9"/>
        <v>0</v>
      </c>
      <c r="BS59">
        <f t="shared" si="10"/>
        <v>0</v>
      </c>
      <c r="BT59" s="53">
        <f t="shared" si="11"/>
        <v>1.8000000000000007</v>
      </c>
    </row>
    <row r="60" spans="1:72" x14ac:dyDescent="0.2">
      <c r="A60" t="s">
        <v>9</v>
      </c>
      <c r="B60">
        <v>30</v>
      </c>
      <c r="C60" s="2">
        <v>2</v>
      </c>
      <c r="D60">
        <v>1</v>
      </c>
      <c r="E60">
        <v>0</v>
      </c>
      <c r="F60">
        <v>1</v>
      </c>
      <c r="G60">
        <v>1</v>
      </c>
      <c r="H60" s="42">
        <v>76</v>
      </c>
      <c r="I60" s="42">
        <v>195</v>
      </c>
      <c r="J60">
        <v>23.733552631578945</v>
      </c>
      <c r="K60">
        <v>22</v>
      </c>
      <c r="L60" s="42">
        <v>1</v>
      </c>
      <c r="M60" t="s">
        <v>5</v>
      </c>
      <c r="N60">
        <v>10</v>
      </c>
      <c r="O60">
        <v>10</v>
      </c>
      <c r="P60">
        <v>0</v>
      </c>
      <c r="Q60">
        <v>0</v>
      </c>
      <c r="R60" s="2">
        <v>0</v>
      </c>
      <c r="S60" s="46">
        <v>67</v>
      </c>
      <c r="T60" s="46">
        <v>0</v>
      </c>
      <c r="U60" s="46">
        <v>0</v>
      </c>
      <c r="V60" s="46">
        <v>1</v>
      </c>
      <c r="W60">
        <v>0</v>
      </c>
      <c r="X60">
        <v>4.2</v>
      </c>
      <c r="Y60">
        <v>4.4000000000000004</v>
      </c>
      <c r="Z60" s="31">
        <v>4.0999999999999996</v>
      </c>
      <c r="AA60" s="31">
        <v>4.2</v>
      </c>
      <c r="AB60" s="49">
        <v>4.2250000000000005</v>
      </c>
      <c r="AC60" s="46">
        <v>91</v>
      </c>
      <c r="AD60" s="46">
        <v>0</v>
      </c>
      <c r="AE60" s="46">
        <v>0</v>
      </c>
      <c r="AF60">
        <v>1</v>
      </c>
      <c r="AG60" s="7">
        <v>6.1</v>
      </c>
      <c r="AH60" s="7">
        <v>6.5</v>
      </c>
      <c r="AI60" s="31">
        <v>6.4</v>
      </c>
      <c r="AJ60" s="31">
        <v>7.1</v>
      </c>
      <c r="AK60" s="49">
        <v>6.5250000000000004</v>
      </c>
      <c r="AL60" s="46">
        <v>90</v>
      </c>
      <c r="AM60" s="46">
        <v>0</v>
      </c>
      <c r="AN60" s="46">
        <v>0</v>
      </c>
      <c r="AO60">
        <v>1</v>
      </c>
      <c r="AP60" s="7">
        <v>5.8</v>
      </c>
      <c r="AQ60" s="7">
        <v>6.3</v>
      </c>
      <c r="AR60" s="31">
        <v>6.6</v>
      </c>
      <c r="AS60" s="31">
        <v>6.4</v>
      </c>
      <c r="AT60" s="52">
        <v>6.2750000000000004</v>
      </c>
      <c r="AU60" s="1">
        <v>0</v>
      </c>
      <c r="AV60" s="1">
        <v>0</v>
      </c>
      <c r="AW60">
        <v>0</v>
      </c>
      <c r="AX60">
        <v>0</v>
      </c>
      <c r="AY60">
        <v>0</v>
      </c>
      <c r="AZ60">
        <v>-24</v>
      </c>
      <c r="BA60">
        <v>-23</v>
      </c>
      <c r="BB60">
        <v>0</v>
      </c>
      <c r="BC60">
        <v>1</v>
      </c>
      <c r="BD60" s="1">
        <v>4.3</v>
      </c>
      <c r="BE60" s="31">
        <v>4.4000000000000004</v>
      </c>
      <c r="BF60">
        <v>4.5</v>
      </c>
      <c r="BG60">
        <v>4.5999999999999996</v>
      </c>
      <c r="BI60">
        <f t="shared" si="0"/>
        <v>24</v>
      </c>
      <c r="BJ60">
        <f t="shared" si="1"/>
        <v>0</v>
      </c>
      <c r="BK60">
        <f t="shared" si="2"/>
        <v>0</v>
      </c>
      <c r="BL60" s="53">
        <f t="shared" si="3"/>
        <v>2.2999999999999998</v>
      </c>
      <c r="BM60">
        <f t="shared" si="4"/>
        <v>-1</v>
      </c>
      <c r="BN60">
        <f t="shared" si="5"/>
        <v>0</v>
      </c>
      <c r="BO60">
        <f t="shared" si="6"/>
        <v>0</v>
      </c>
      <c r="BP60" s="53">
        <f t="shared" si="7"/>
        <v>-0.25</v>
      </c>
      <c r="BQ60">
        <f t="shared" si="8"/>
        <v>23</v>
      </c>
      <c r="BR60">
        <f t="shared" si="9"/>
        <v>0</v>
      </c>
      <c r="BS60">
        <f t="shared" si="10"/>
        <v>0</v>
      </c>
      <c r="BT60" s="53">
        <f t="shared" si="11"/>
        <v>2.0499999999999998</v>
      </c>
    </row>
    <row r="61" spans="1:72" x14ac:dyDescent="0.2">
      <c r="A61" t="s">
        <v>8</v>
      </c>
      <c r="B61">
        <v>30</v>
      </c>
      <c r="C61" s="2">
        <v>2</v>
      </c>
      <c r="D61">
        <v>1</v>
      </c>
      <c r="E61">
        <v>0</v>
      </c>
      <c r="F61">
        <v>1</v>
      </c>
      <c r="G61">
        <v>1</v>
      </c>
      <c r="H61" s="42">
        <v>76</v>
      </c>
      <c r="I61" s="42">
        <v>195</v>
      </c>
      <c r="J61">
        <v>23.733552631578945</v>
      </c>
      <c r="K61">
        <v>22</v>
      </c>
      <c r="L61" s="42">
        <v>1</v>
      </c>
      <c r="M61" t="s">
        <v>5</v>
      </c>
      <c r="N61">
        <v>10</v>
      </c>
      <c r="O61">
        <v>10</v>
      </c>
      <c r="P61">
        <v>0</v>
      </c>
      <c r="Q61">
        <v>0</v>
      </c>
      <c r="R61" s="2">
        <v>1</v>
      </c>
      <c r="S61" s="46">
        <v>67</v>
      </c>
      <c r="T61" s="46">
        <v>0</v>
      </c>
      <c r="U61" s="46">
        <v>0</v>
      </c>
      <c r="V61" s="46">
        <v>1</v>
      </c>
      <c r="W61">
        <v>0</v>
      </c>
      <c r="X61">
        <v>7.3</v>
      </c>
      <c r="Y61">
        <v>7.5</v>
      </c>
      <c r="Z61" s="31">
        <v>7.2</v>
      </c>
      <c r="AA61" s="31">
        <v>7.3</v>
      </c>
      <c r="AB61" s="49">
        <v>7.3250000000000002</v>
      </c>
      <c r="AC61" s="46">
        <v>85</v>
      </c>
      <c r="AD61" s="46">
        <v>0</v>
      </c>
      <c r="AE61" s="46">
        <v>0</v>
      </c>
      <c r="AF61">
        <v>1</v>
      </c>
      <c r="AG61" s="7">
        <v>7.2</v>
      </c>
      <c r="AH61" s="7">
        <v>7</v>
      </c>
      <c r="AI61" s="31">
        <v>7.4</v>
      </c>
      <c r="AJ61" s="31">
        <v>7.7</v>
      </c>
      <c r="AK61" s="49">
        <v>7.3250000000000002</v>
      </c>
      <c r="AL61" s="46">
        <v>78</v>
      </c>
      <c r="AM61" s="46">
        <v>0</v>
      </c>
      <c r="AN61" s="46">
        <v>1</v>
      </c>
      <c r="AO61">
        <v>1</v>
      </c>
      <c r="AP61" s="4">
        <v>9.4</v>
      </c>
      <c r="AQ61" s="4">
        <v>9.4</v>
      </c>
      <c r="AR61" s="31">
        <v>9.9</v>
      </c>
      <c r="AS61" s="31">
        <v>9.6999999999999993</v>
      </c>
      <c r="AT61" s="52">
        <v>9.6000000000000014</v>
      </c>
      <c r="AU61" s="1">
        <v>0</v>
      </c>
      <c r="AV61" s="1">
        <v>0</v>
      </c>
      <c r="AW61">
        <v>0</v>
      </c>
      <c r="AX61">
        <v>1</v>
      </c>
      <c r="AY61">
        <v>0</v>
      </c>
      <c r="AZ61">
        <v>-18</v>
      </c>
      <c r="BA61">
        <v>-11</v>
      </c>
      <c r="BB61">
        <v>0</v>
      </c>
      <c r="BC61">
        <v>1</v>
      </c>
      <c r="BD61" s="1">
        <v>4.9000000000000004</v>
      </c>
      <c r="BE61" s="31">
        <v>4.5999999999999996</v>
      </c>
      <c r="BF61">
        <v>4.4000000000000004</v>
      </c>
      <c r="BG61">
        <v>4.5</v>
      </c>
      <c r="BI61">
        <f t="shared" si="0"/>
        <v>18</v>
      </c>
      <c r="BJ61">
        <f t="shared" si="1"/>
        <v>0</v>
      </c>
      <c r="BK61">
        <f t="shared" si="2"/>
        <v>0</v>
      </c>
      <c r="BL61" s="53">
        <f t="shared" si="3"/>
        <v>0</v>
      </c>
      <c r="BM61">
        <f t="shared" si="4"/>
        <v>-7</v>
      </c>
      <c r="BN61">
        <f t="shared" si="5"/>
        <v>0</v>
      </c>
      <c r="BO61">
        <f t="shared" si="6"/>
        <v>1</v>
      </c>
      <c r="BP61" s="53">
        <f t="shared" si="7"/>
        <v>2.2750000000000012</v>
      </c>
      <c r="BQ61">
        <f t="shared" si="8"/>
        <v>11</v>
      </c>
      <c r="BR61">
        <f t="shared" si="9"/>
        <v>0</v>
      </c>
      <c r="BS61">
        <f t="shared" si="10"/>
        <v>1</v>
      </c>
      <c r="BT61" s="53">
        <f t="shared" si="11"/>
        <v>2.2750000000000012</v>
      </c>
    </row>
    <row r="62" spans="1:72" x14ac:dyDescent="0.2">
      <c r="A62" t="s">
        <v>7</v>
      </c>
      <c r="B62">
        <v>31</v>
      </c>
      <c r="C62" s="2">
        <v>2</v>
      </c>
      <c r="D62">
        <v>1</v>
      </c>
      <c r="E62">
        <v>1</v>
      </c>
      <c r="F62">
        <v>1</v>
      </c>
      <c r="G62">
        <v>1</v>
      </c>
      <c r="H62" s="42">
        <v>80</v>
      </c>
      <c r="I62" s="42">
        <v>240</v>
      </c>
      <c r="J62">
        <v>26.362500000000001</v>
      </c>
      <c r="K62">
        <v>21</v>
      </c>
      <c r="L62" s="42">
        <v>2</v>
      </c>
      <c r="M62" t="s">
        <v>5</v>
      </c>
      <c r="N62" s="6"/>
      <c r="O62" s="6"/>
      <c r="P62">
        <v>0</v>
      </c>
      <c r="Q62">
        <v>0</v>
      </c>
      <c r="R62" s="2">
        <v>0</v>
      </c>
      <c r="S62" s="46">
        <v>100</v>
      </c>
      <c r="T62" s="46">
        <v>0</v>
      </c>
      <c r="U62" s="46">
        <v>0</v>
      </c>
      <c r="V62" s="46">
        <v>0</v>
      </c>
      <c r="W62">
        <v>0</v>
      </c>
      <c r="X62">
        <v>4</v>
      </c>
      <c r="Y62">
        <v>4.2</v>
      </c>
      <c r="Z62" s="31">
        <v>4.2</v>
      </c>
      <c r="AA62" s="31">
        <v>4.2</v>
      </c>
      <c r="AB62" s="49">
        <v>4.1499999999999995</v>
      </c>
      <c r="AC62" s="46">
        <v>86</v>
      </c>
      <c r="AD62" s="46">
        <v>0</v>
      </c>
      <c r="AE62" s="46">
        <v>0</v>
      </c>
      <c r="AF62">
        <v>0</v>
      </c>
      <c r="AG62">
        <v>3.5</v>
      </c>
      <c r="AH62">
        <v>3.5</v>
      </c>
      <c r="AI62" s="31">
        <v>3.5</v>
      </c>
      <c r="AJ62" s="31">
        <v>3.7</v>
      </c>
      <c r="AK62" s="49">
        <v>3.55</v>
      </c>
      <c r="AL62" s="46">
        <v>93</v>
      </c>
      <c r="AM62" s="46">
        <v>0</v>
      </c>
      <c r="AN62" s="46">
        <v>0</v>
      </c>
      <c r="AO62">
        <v>0</v>
      </c>
      <c r="AP62">
        <v>3.7</v>
      </c>
      <c r="AQ62">
        <v>4.0999999999999996</v>
      </c>
      <c r="AR62" s="31">
        <v>4</v>
      </c>
      <c r="AS62" s="31">
        <v>4.5999999999999996</v>
      </c>
      <c r="AT62" s="52">
        <v>4.0999999999999996</v>
      </c>
      <c r="AU62" s="1">
        <v>0</v>
      </c>
      <c r="AV62" s="1">
        <v>0</v>
      </c>
      <c r="AW62">
        <v>0</v>
      </c>
      <c r="AX62">
        <v>0</v>
      </c>
      <c r="AY62">
        <v>0</v>
      </c>
      <c r="AZ62">
        <v>14</v>
      </c>
      <c r="BA62">
        <v>7</v>
      </c>
      <c r="BB62">
        <v>1</v>
      </c>
      <c r="BC62">
        <v>0</v>
      </c>
      <c r="BD62" s="1">
        <v>3.2</v>
      </c>
      <c r="BE62" s="31">
        <v>3.7</v>
      </c>
      <c r="BF62">
        <v>3.7</v>
      </c>
      <c r="BG62">
        <v>3.6</v>
      </c>
      <c r="BI62">
        <f t="shared" si="0"/>
        <v>-14</v>
      </c>
      <c r="BJ62">
        <f t="shared" si="1"/>
        <v>0</v>
      </c>
      <c r="BK62">
        <f t="shared" si="2"/>
        <v>0</v>
      </c>
      <c r="BL62" s="53">
        <f t="shared" si="3"/>
        <v>-0.59999999999999964</v>
      </c>
      <c r="BM62">
        <f t="shared" si="4"/>
        <v>7</v>
      </c>
      <c r="BN62">
        <f t="shared" si="5"/>
        <v>0</v>
      </c>
      <c r="BO62">
        <f t="shared" si="6"/>
        <v>0</v>
      </c>
      <c r="BP62" s="53">
        <f t="shared" si="7"/>
        <v>0.54999999999999982</v>
      </c>
      <c r="BQ62">
        <f t="shared" si="8"/>
        <v>-7</v>
      </c>
      <c r="BR62">
        <f t="shared" si="9"/>
        <v>0</v>
      </c>
      <c r="BS62">
        <f t="shared" si="10"/>
        <v>0</v>
      </c>
      <c r="BT62" s="53">
        <f t="shared" si="11"/>
        <v>-4.9999999999999822E-2</v>
      </c>
    </row>
    <row r="63" spans="1:72" x14ac:dyDescent="0.2">
      <c r="A63" t="s">
        <v>6</v>
      </c>
      <c r="B63">
        <v>31</v>
      </c>
      <c r="C63" s="2">
        <v>2</v>
      </c>
      <c r="D63">
        <v>1</v>
      </c>
      <c r="E63">
        <v>1</v>
      </c>
      <c r="F63">
        <v>1</v>
      </c>
      <c r="G63">
        <v>1</v>
      </c>
      <c r="H63" s="42">
        <v>80</v>
      </c>
      <c r="I63" s="42">
        <v>240</v>
      </c>
      <c r="J63">
        <v>26.362500000000001</v>
      </c>
      <c r="K63">
        <v>21</v>
      </c>
      <c r="L63" s="42">
        <v>2</v>
      </c>
      <c r="M63" t="s">
        <v>5</v>
      </c>
      <c r="N63" s="6"/>
      <c r="O63" s="6"/>
      <c r="P63">
        <v>0</v>
      </c>
      <c r="Q63">
        <v>0</v>
      </c>
      <c r="R63" s="2">
        <v>0</v>
      </c>
      <c r="S63" s="46">
        <v>88</v>
      </c>
      <c r="T63" s="46">
        <v>0</v>
      </c>
      <c r="U63" s="46">
        <v>0</v>
      </c>
      <c r="V63" s="46">
        <v>0</v>
      </c>
      <c r="W63">
        <v>0</v>
      </c>
      <c r="X63">
        <v>3.6</v>
      </c>
      <c r="Y63">
        <v>3.6</v>
      </c>
      <c r="Z63" s="31">
        <v>3.3</v>
      </c>
      <c r="AA63" s="31">
        <v>3.6</v>
      </c>
      <c r="AB63" s="49">
        <v>3.5249999999999999</v>
      </c>
      <c r="AC63" s="46">
        <v>88</v>
      </c>
      <c r="AD63" s="46">
        <v>0</v>
      </c>
      <c r="AE63" s="46">
        <v>0</v>
      </c>
      <c r="AF63">
        <v>0</v>
      </c>
      <c r="AG63">
        <v>3.6</v>
      </c>
      <c r="AH63">
        <v>3.4</v>
      </c>
      <c r="AI63" s="31">
        <v>3.8</v>
      </c>
      <c r="AJ63" s="31">
        <v>3.5</v>
      </c>
      <c r="AK63" s="49">
        <v>3.5750000000000002</v>
      </c>
      <c r="AL63" s="46">
        <v>97</v>
      </c>
      <c r="AM63" s="46">
        <v>0</v>
      </c>
      <c r="AN63" s="46">
        <v>0</v>
      </c>
      <c r="AO63">
        <v>0</v>
      </c>
      <c r="AP63">
        <v>3.1</v>
      </c>
      <c r="AQ63">
        <v>3.2</v>
      </c>
      <c r="AR63" s="31">
        <v>3.5</v>
      </c>
      <c r="AS63" s="31">
        <v>3.1</v>
      </c>
      <c r="AT63" s="52">
        <v>3.2250000000000001</v>
      </c>
      <c r="AU63" s="1">
        <v>0</v>
      </c>
      <c r="AV63" s="1">
        <v>0</v>
      </c>
      <c r="AW63">
        <v>0</v>
      </c>
      <c r="AX63">
        <v>0</v>
      </c>
      <c r="AY63">
        <v>0</v>
      </c>
      <c r="AZ63">
        <v>0</v>
      </c>
      <c r="BA63">
        <v>-9</v>
      </c>
      <c r="BB63">
        <v>0</v>
      </c>
      <c r="BC63">
        <v>0</v>
      </c>
      <c r="BD63" s="1">
        <v>4.9000000000000004</v>
      </c>
      <c r="BE63" s="31">
        <v>5.2</v>
      </c>
      <c r="BF63">
        <v>5.0999999999999996</v>
      </c>
      <c r="BG63">
        <v>5.3</v>
      </c>
      <c r="BI63">
        <f t="shared" si="0"/>
        <v>0</v>
      </c>
      <c r="BJ63">
        <f t="shared" si="1"/>
        <v>0</v>
      </c>
      <c r="BK63">
        <f t="shared" si="2"/>
        <v>0</v>
      </c>
      <c r="BL63" s="53">
        <f t="shared" si="3"/>
        <v>5.0000000000000266E-2</v>
      </c>
      <c r="BM63">
        <f t="shared" si="4"/>
        <v>9</v>
      </c>
      <c r="BN63">
        <f t="shared" si="5"/>
        <v>0</v>
      </c>
      <c r="BO63">
        <f t="shared" si="6"/>
        <v>0</v>
      </c>
      <c r="BP63" s="53">
        <f t="shared" si="7"/>
        <v>-0.35000000000000009</v>
      </c>
      <c r="BQ63">
        <f t="shared" si="8"/>
        <v>9</v>
      </c>
      <c r="BR63">
        <f t="shared" si="9"/>
        <v>0</v>
      </c>
      <c r="BS63">
        <f t="shared" si="10"/>
        <v>0</v>
      </c>
      <c r="BT63" s="53">
        <f t="shared" si="11"/>
        <v>-0.29999999999999982</v>
      </c>
    </row>
    <row r="64" spans="1:72" x14ac:dyDescent="0.2">
      <c r="A64" t="s">
        <v>4</v>
      </c>
      <c r="B64">
        <v>32</v>
      </c>
      <c r="C64" s="2">
        <v>2</v>
      </c>
      <c r="D64">
        <v>1</v>
      </c>
      <c r="E64">
        <v>1</v>
      </c>
      <c r="F64">
        <v>1</v>
      </c>
      <c r="G64">
        <v>1</v>
      </c>
      <c r="H64" s="42">
        <v>73</v>
      </c>
      <c r="I64" s="42">
        <v>190</v>
      </c>
      <c r="J64">
        <v>25.064740101332333</v>
      </c>
      <c r="K64">
        <v>19</v>
      </c>
      <c r="L64" s="42">
        <v>1</v>
      </c>
      <c r="M64" t="s">
        <v>0</v>
      </c>
      <c r="N64" s="6"/>
      <c r="O64" s="6"/>
      <c r="P64">
        <v>0</v>
      </c>
      <c r="Q64">
        <v>0</v>
      </c>
      <c r="R64" s="2">
        <v>0</v>
      </c>
      <c r="S64" s="46">
        <v>95</v>
      </c>
      <c r="T64" s="46">
        <v>0</v>
      </c>
      <c r="U64" s="46">
        <v>0</v>
      </c>
      <c r="V64" s="46">
        <v>0</v>
      </c>
      <c r="W64">
        <v>0</v>
      </c>
      <c r="X64">
        <v>5.0999999999999996</v>
      </c>
      <c r="Y64">
        <v>5.0999999999999996</v>
      </c>
      <c r="Z64" s="31">
        <v>5</v>
      </c>
      <c r="AA64" s="31">
        <v>4.9000000000000004</v>
      </c>
      <c r="AB64" s="49">
        <v>5.0250000000000004</v>
      </c>
      <c r="AC64" s="46">
        <v>75</v>
      </c>
      <c r="AD64" s="46">
        <v>0</v>
      </c>
      <c r="AE64" s="46">
        <v>0</v>
      </c>
      <c r="AF64">
        <v>1</v>
      </c>
      <c r="AG64">
        <v>7.2</v>
      </c>
      <c r="AH64" s="7">
        <v>8</v>
      </c>
      <c r="AI64" s="31">
        <v>6.8</v>
      </c>
      <c r="AJ64" s="31">
        <v>8.1999999999999993</v>
      </c>
      <c r="AK64" s="49">
        <v>7.55</v>
      </c>
      <c r="AL64" s="46">
        <v>79</v>
      </c>
      <c r="AM64" s="46">
        <v>0</v>
      </c>
      <c r="AN64" s="46">
        <v>0</v>
      </c>
      <c r="AO64">
        <v>1</v>
      </c>
      <c r="AP64" s="4">
        <v>5.8</v>
      </c>
      <c r="AQ64" s="4">
        <v>6.7</v>
      </c>
      <c r="AR64" s="31">
        <v>5.9</v>
      </c>
      <c r="AS64" s="31">
        <v>6.8</v>
      </c>
      <c r="AT64" s="52">
        <v>6.3</v>
      </c>
      <c r="AU64" s="1">
        <v>1</v>
      </c>
      <c r="AV64" s="1">
        <v>1</v>
      </c>
      <c r="AW64">
        <v>0</v>
      </c>
      <c r="AX64">
        <v>1</v>
      </c>
      <c r="AY64">
        <v>0</v>
      </c>
      <c r="AZ64">
        <v>20</v>
      </c>
      <c r="BA64">
        <v>16</v>
      </c>
      <c r="BB64">
        <v>1</v>
      </c>
      <c r="BC64">
        <v>1</v>
      </c>
      <c r="BD64" s="1">
        <v>4.4000000000000004</v>
      </c>
      <c r="BE64" s="31">
        <v>4.3</v>
      </c>
      <c r="BF64">
        <v>4.5999999999999996</v>
      </c>
      <c r="BG64" s="7">
        <v>5.3</v>
      </c>
      <c r="BI64">
        <f t="shared" si="0"/>
        <v>-20</v>
      </c>
      <c r="BJ64">
        <f t="shared" si="1"/>
        <v>0</v>
      </c>
      <c r="BK64">
        <f t="shared" si="2"/>
        <v>0</v>
      </c>
      <c r="BL64" s="53">
        <f t="shared" si="3"/>
        <v>2.5249999999999995</v>
      </c>
      <c r="BM64">
        <f t="shared" si="4"/>
        <v>4</v>
      </c>
      <c r="BN64">
        <f t="shared" si="5"/>
        <v>0</v>
      </c>
      <c r="BO64">
        <f t="shared" si="6"/>
        <v>0</v>
      </c>
      <c r="BP64" s="53">
        <f t="shared" si="7"/>
        <v>-1.25</v>
      </c>
      <c r="BQ64">
        <f t="shared" si="8"/>
        <v>-16</v>
      </c>
      <c r="BR64">
        <f t="shared" si="9"/>
        <v>0</v>
      </c>
      <c r="BS64">
        <f t="shared" si="10"/>
        <v>0</v>
      </c>
      <c r="BT64" s="53">
        <f t="shared" si="11"/>
        <v>1.2749999999999995</v>
      </c>
    </row>
    <row r="65" spans="1:72" x14ac:dyDescent="0.2">
      <c r="A65" t="s">
        <v>3</v>
      </c>
      <c r="B65">
        <v>32</v>
      </c>
      <c r="C65" s="2">
        <v>2</v>
      </c>
      <c r="D65">
        <v>1</v>
      </c>
      <c r="E65">
        <v>1</v>
      </c>
      <c r="F65">
        <v>1</v>
      </c>
      <c r="G65">
        <v>1</v>
      </c>
      <c r="H65" s="42">
        <v>73</v>
      </c>
      <c r="I65" s="42">
        <v>190</v>
      </c>
      <c r="J65">
        <v>25.064740101332333</v>
      </c>
      <c r="K65">
        <v>19</v>
      </c>
      <c r="L65" s="42">
        <v>1</v>
      </c>
      <c r="M65" t="s">
        <v>0</v>
      </c>
      <c r="N65" s="6"/>
      <c r="O65" s="6"/>
      <c r="P65">
        <v>0</v>
      </c>
      <c r="Q65">
        <v>0</v>
      </c>
      <c r="R65" s="2">
        <v>0</v>
      </c>
      <c r="S65" s="46">
        <v>95</v>
      </c>
      <c r="T65" s="46">
        <v>0</v>
      </c>
      <c r="U65" s="46">
        <v>0</v>
      </c>
      <c r="V65" s="46">
        <v>0</v>
      </c>
      <c r="W65">
        <v>0</v>
      </c>
      <c r="X65">
        <v>4.4000000000000004</v>
      </c>
      <c r="Y65">
        <v>4.5</v>
      </c>
      <c r="Z65" s="31">
        <v>4.5999999999999996</v>
      </c>
      <c r="AA65" s="31">
        <v>4.5</v>
      </c>
      <c r="AB65" s="49">
        <v>4.5</v>
      </c>
      <c r="AC65" s="46">
        <v>78</v>
      </c>
      <c r="AD65" s="46">
        <v>0</v>
      </c>
      <c r="AE65" s="46">
        <v>0</v>
      </c>
      <c r="AF65">
        <v>0</v>
      </c>
      <c r="AG65">
        <v>5.5</v>
      </c>
      <c r="AH65">
        <v>6.1</v>
      </c>
      <c r="AI65" s="31">
        <v>5.5</v>
      </c>
      <c r="AJ65" s="31">
        <v>5.9</v>
      </c>
      <c r="AK65" s="49">
        <v>5.75</v>
      </c>
      <c r="AL65" s="50">
        <v>43</v>
      </c>
      <c r="AM65" s="46">
        <v>0</v>
      </c>
      <c r="AN65" s="46">
        <v>0</v>
      </c>
      <c r="AO65">
        <v>1</v>
      </c>
      <c r="AP65" s="4">
        <v>6.1</v>
      </c>
      <c r="AQ65" s="4">
        <v>6.3</v>
      </c>
      <c r="AR65" s="31">
        <v>6.1</v>
      </c>
      <c r="AS65" s="31">
        <v>6.3</v>
      </c>
      <c r="AT65" s="52">
        <v>6.2</v>
      </c>
      <c r="AU65" s="1">
        <v>1</v>
      </c>
      <c r="AV65" s="1">
        <v>1</v>
      </c>
      <c r="AW65">
        <v>0</v>
      </c>
      <c r="AX65">
        <v>1</v>
      </c>
      <c r="AY65">
        <v>0</v>
      </c>
      <c r="AZ65">
        <v>17</v>
      </c>
      <c r="BA65">
        <v>52</v>
      </c>
      <c r="BB65">
        <v>1</v>
      </c>
      <c r="BC65">
        <v>1</v>
      </c>
      <c r="BD65" s="1">
        <v>3.2</v>
      </c>
      <c r="BE65" s="31">
        <v>3.2</v>
      </c>
      <c r="BF65">
        <v>3.7</v>
      </c>
      <c r="BG65">
        <v>4</v>
      </c>
      <c r="BI65">
        <f t="shared" si="0"/>
        <v>-17</v>
      </c>
      <c r="BJ65">
        <f t="shared" si="1"/>
        <v>0</v>
      </c>
      <c r="BK65">
        <f t="shared" si="2"/>
        <v>0</v>
      </c>
      <c r="BL65" s="53">
        <f t="shared" si="3"/>
        <v>1.25</v>
      </c>
      <c r="BM65">
        <f t="shared" si="4"/>
        <v>-35</v>
      </c>
      <c r="BN65">
        <f t="shared" si="5"/>
        <v>0</v>
      </c>
      <c r="BO65">
        <f t="shared" si="6"/>
        <v>0</v>
      </c>
      <c r="BP65" s="53">
        <f t="shared" si="7"/>
        <v>0.45000000000000018</v>
      </c>
      <c r="BQ65">
        <f t="shared" si="8"/>
        <v>-52</v>
      </c>
      <c r="BR65">
        <f t="shared" si="9"/>
        <v>0</v>
      </c>
      <c r="BS65">
        <f t="shared" si="10"/>
        <v>0</v>
      </c>
      <c r="BT65" s="53">
        <f t="shared" si="11"/>
        <v>1.7000000000000002</v>
      </c>
    </row>
    <row r="66" spans="1:72" x14ac:dyDescent="0.2">
      <c r="A66" s="3" t="s">
        <v>2</v>
      </c>
      <c r="B66" s="3">
        <v>33</v>
      </c>
      <c r="C66" s="2">
        <v>2</v>
      </c>
      <c r="D66">
        <v>0</v>
      </c>
      <c r="E66">
        <v>0</v>
      </c>
      <c r="F66">
        <v>0</v>
      </c>
      <c r="G66" s="3">
        <v>1</v>
      </c>
      <c r="H66" s="42">
        <v>75</v>
      </c>
      <c r="I66" s="42">
        <v>180</v>
      </c>
      <c r="J66">
        <v>22.496000000000002</v>
      </c>
      <c r="K66" s="3">
        <v>20</v>
      </c>
      <c r="L66" s="42">
        <v>1</v>
      </c>
      <c r="M66" s="3" t="s">
        <v>0</v>
      </c>
      <c r="N66" s="3">
        <v>13</v>
      </c>
      <c r="O66" s="3">
        <v>13</v>
      </c>
      <c r="P66" s="3">
        <v>0</v>
      </c>
      <c r="Q66" s="3">
        <v>0</v>
      </c>
      <c r="R66" s="13">
        <v>0</v>
      </c>
      <c r="S66" s="54"/>
      <c r="T66" s="54"/>
      <c r="U66" s="54"/>
      <c r="V66" s="54"/>
      <c r="W66" s="54"/>
      <c r="X66" s="54"/>
      <c r="Y66" s="54"/>
      <c r="Z66" s="54"/>
      <c r="AA66" s="54"/>
      <c r="AB66" s="58" t="e">
        <v>#DIV/0!</v>
      </c>
      <c r="AC66" s="46">
        <v>78</v>
      </c>
      <c r="AD66" s="46">
        <v>0</v>
      </c>
      <c r="AE66" s="46">
        <v>0</v>
      </c>
      <c r="AF66">
        <v>0</v>
      </c>
      <c r="AG66">
        <v>3.7</v>
      </c>
      <c r="AH66">
        <v>3.9</v>
      </c>
      <c r="AI66" s="31">
        <v>3.7</v>
      </c>
      <c r="AJ66" s="31">
        <v>4</v>
      </c>
      <c r="AK66" s="49">
        <v>3.8250000000000002</v>
      </c>
      <c r="AL66" s="46">
        <v>94</v>
      </c>
      <c r="AM66" s="46">
        <v>0</v>
      </c>
      <c r="AN66" s="46">
        <v>0</v>
      </c>
      <c r="AO66">
        <v>0</v>
      </c>
      <c r="AP66">
        <v>3.5</v>
      </c>
      <c r="AQ66">
        <v>3.5</v>
      </c>
      <c r="AR66" s="31">
        <v>3.5</v>
      </c>
      <c r="AS66" s="31">
        <v>3.6</v>
      </c>
      <c r="AT66" s="52">
        <v>3.5249999999999999</v>
      </c>
      <c r="AU66" s="1">
        <v>0</v>
      </c>
      <c r="AV66" s="1">
        <v>0</v>
      </c>
      <c r="AW66">
        <v>0</v>
      </c>
      <c r="AX66">
        <v>1</v>
      </c>
      <c r="AY66">
        <v>0</v>
      </c>
      <c r="AZ66" s="3">
        <v>-78</v>
      </c>
      <c r="BA66" s="3">
        <v>-94</v>
      </c>
      <c r="BC66">
        <v>0</v>
      </c>
      <c r="BD66" s="1">
        <v>4.5</v>
      </c>
      <c r="BE66" s="31">
        <v>4.9000000000000004</v>
      </c>
      <c r="BF66">
        <v>4.5</v>
      </c>
      <c r="BG66">
        <v>4.8</v>
      </c>
      <c r="BI66" s="54"/>
      <c r="BJ66" s="54"/>
      <c r="BK66" s="54"/>
      <c r="BL66" s="55"/>
      <c r="BM66">
        <f t="shared" si="4"/>
        <v>16</v>
      </c>
      <c r="BN66">
        <f t="shared" si="5"/>
        <v>0</v>
      </c>
      <c r="BO66">
        <f t="shared" si="6"/>
        <v>0</v>
      </c>
      <c r="BP66" s="53">
        <f t="shared" si="7"/>
        <v>-0.30000000000000027</v>
      </c>
      <c r="BQ66" s="54"/>
      <c r="BR66" s="54"/>
      <c r="BS66" s="54"/>
      <c r="BT66" s="55"/>
    </row>
    <row r="67" spans="1:72" x14ac:dyDescent="0.2">
      <c r="A67" s="3" t="s">
        <v>1</v>
      </c>
      <c r="B67" s="3">
        <v>33</v>
      </c>
      <c r="C67" s="2">
        <v>2</v>
      </c>
      <c r="D67">
        <v>0</v>
      </c>
      <c r="E67">
        <v>0</v>
      </c>
      <c r="F67">
        <v>0</v>
      </c>
      <c r="G67" s="3">
        <v>1</v>
      </c>
      <c r="H67" s="42">
        <v>75</v>
      </c>
      <c r="I67" s="42">
        <v>180</v>
      </c>
      <c r="J67">
        <v>22.496000000000002</v>
      </c>
      <c r="K67" s="3">
        <v>20</v>
      </c>
      <c r="L67" s="42">
        <v>1</v>
      </c>
      <c r="M67" s="3" t="s">
        <v>0</v>
      </c>
      <c r="N67" s="3">
        <v>13</v>
      </c>
      <c r="O67" s="3">
        <v>13</v>
      </c>
      <c r="P67" s="3">
        <v>0</v>
      </c>
      <c r="Q67" s="3">
        <v>0</v>
      </c>
      <c r="R67" s="13">
        <v>0</v>
      </c>
      <c r="S67" s="54"/>
      <c r="T67" s="54"/>
      <c r="U67" s="54"/>
      <c r="V67" s="54"/>
      <c r="W67" s="54"/>
      <c r="X67" s="54"/>
      <c r="Y67" s="54"/>
      <c r="Z67" s="54"/>
      <c r="AA67" s="54"/>
      <c r="AB67" s="58" t="e">
        <v>#DIV/0!</v>
      </c>
      <c r="AC67" s="46">
        <v>75</v>
      </c>
      <c r="AD67" s="46">
        <v>0</v>
      </c>
      <c r="AE67" s="46">
        <v>0</v>
      </c>
      <c r="AF67">
        <v>0</v>
      </c>
      <c r="AG67">
        <v>4.5999999999999996</v>
      </c>
      <c r="AH67">
        <v>4.7</v>
      </c>
      <c r="AI67" s="31">
        <v>4.7</v>
      </c>
      <c r="AJ67" s="31">
        <v>4.9000000000000004</v>
      </c>
      <c r="AK67" s="49">
        <v>4.7249999999999996</v>
      </c>
      <c r="AL67" s="46">
        <v>79</v>
      </c>
      <c r="AM67" s="46">
        <v>1</v>
      </c>
      <c r="AN67" s="46">
        <v>0</v>
      </c>
      <c r="AO67">
        <v>0</v>
      </c>
      <c r="AP67">
        <v>4.5</v>
      </c>
      <c r="AQ67">
        <v>3.8</v>
      </c>
      <c r="AR67" s="31">
        <v>4.4000000000000004</v>
      </c>
      <c r="AS67" s="31">
        <v>4</v>
      </c>
      <c r="AT67" s="52">
        <v>4.1750000000000007</v>
      </c>
      <c r="AU67" s="1">
        <v>0</v>
      </c>
      <c r="AV67" s="1">
        <v>0</v>
      </c>
      <c r="AW67">
        <v>0</v>
      </c>
      <c r="AX67">
        <v>1</v>
      </c>
      <c r="AY67">
        <v>0</v>
      </c>
      <c r="AZ67" s="3">
        <v>-75</v>
      </c>
      <c r="BA67" s="3">
        <v>-79</v>
      </c>
      <c r="BC67">
        <v>0</v>
      </c>
      <c r="BD67" s="1">
        <v>4.3</v>
      </c>
      <c r="BE67" s="31">
        <v>4.5</v>
      </c>
      <c r="BF67">
        <v>4.3</v>
      </c>
      <c r="BG67">
        <v>4.5</v>
      </c>
      <c r="BI67" s="54"/>
      <c r="BJ67" s="54"/>
      <c r="BK67" s="54"/>
      <c r="BL67" s="55"/>
      <c r="BM67">
        <f t="shared" ref="BL67:BO67" si="14">+AL67-AC67</f>
        <v>4</v>
      </c>
      <c r="BN67">
        <f t="shared" si="14"/>
        <v>1</v>
      </c>
      <c r="BO67">
        <f t="shared" si="14"/>
        <v>0</v>
      </c>
      <c r="BP67" s="53">
        <f t="shared" ref="BP67" si="15">+AT67-AK67</f>
        <v>-0.54999999999999893</v>
      </c>
      <c r="BQ67" s="54"/>
      <c r="BR67" s="54"/>
      <c r="BS67" s="54"/>
      <c r="BT67" s="55"/>
    </row>
    <row r="68" spans="1:72" x14ac:dyDescent="0.2">
      <c r="BD68" s="1">
        <v>4.9000000000000004</v>
      </c>
      <c r="BE68" s="31">
        <v>4.7</v>
      </c>
      <c r="BF68">
        <v>4.5999999999999996</v>
      </c>
      <c r="BG68">
        <v>4.8</v>
      </c>
    </row>
    <row r="69" spans="1:72" x14ac:dyDescent="0.2">
      <c r="BD69" s="1">
        <v>4.9000000000000004</v>
      </c>
      <c r="BE69" s="31">
        <v>4.7</v>
      </c>
      <c r="BF69">
        <v>6</v>
      </c>
      <c r="BG69">
        <v>5.8</v>
      </c>
    </row>
    <row r="70" spans="1:72" x14ac:dyDescent="0.2">
      <c r="BD70" s="1">
        <v>4.5999999999999996</v>
      </c>
      <c r="BE70" s="31">
        <v>5</v>
      </c>
      <c r="BF70">
        <v>4.7</v>
      </c>
      <c r="BG70">
        <v>4.9000000000000004</v>
      </c>
    </row>
    <row r="71" spans="1:72" x14ac:dyDescent="0.2">
      <c r="BD71" s="1">
        <v>4.5</v>
      </c>
      <c r="BE71" s="31">
        <v>4.3</v>
      </c>
      <c r="BF71">
        <v>5.2</v>
      </c>
      <c r="BG71">
        <v>5.4</v>
      </c>
    </row>
    <row r="72" spans="1:72" x14ac:dyDescent="0.2">
      <c r="BD72" s="1">
        <v>6.4</v>
      </c>
      <c r="BE72" s="31">
        <v>6.4</v>
      </c>
      <c r="BF72" s="4">
        <v>6.9</v>
      </c>
      <c r="BG72" s="4">
        <v>6.6</v>
      </c>
    </row>
    <row r="73" spans="1:72" x14ac:dyDescent="0.2">
      <c r="BD73" s="1">
        <v>3.5</v>
      </c>
      <c r="BE73" s="31">
        <v>3.4</v>
      </c>
      <c r="BF73">
        <v>3.8</v>
      </c>
      <c r="BG73">
        <v>3.7</v>
      </c>
    </row>
    <row r="74" spans="1:72" x14ac:dyDescent="0.2">
      <c r="BD74" s="1">
        <v>3.6</v>
      </c>
      <c r="BE74" s="31">
        <v>3.7</v>
      </c>
      <c r="BF74">
        <v>4.0999999999999996</v>
      </c>
      <c r="BG74">
        <v>4</v>
      </c>
    </row>
    <row r="75" spans="1:72" x14ac:dyDescent="0.2">
      <c r="BD75" s="35">
        <v>4.8</v>
      </c>
      <c r="BE75" s="31">
        <v>4.8</v>
      </c>
      <c r="BF75">
        <v>4.3</v>
      </c>
      <c r="BG75">
        <v>4.8</v>
      </c>
    </row>
    <row r="76" spans="1:72" x14ac:dyDescent="0.2">
      <c r="BD76" s="1">
        <v>3.4</v>
      </c>
      <c r="BE76" s="31">
        <v>3.5</v>
      </c>
      <c r="BF76">
        <v>3.6</v>
      </c>
      <c r="BG76">
        <v>3.6</v>
      </c>
    </row>
    <row r="77" spans="1:72" x14ac:dyDescent="0.2">
      <c r="BD77" s="1">
        <v>4.5</v>
      </c>
      <c r="BE77" s="31">
        <v>5.4</v>
      </c>
      <c r="BF77">
        <v>4.2</v>
      </c>
      <c r="BG77">
        <v>3.8</v>
      </c>
    </row>
    <row r="78" spans="1:72" x14ac:dyDescent="0.2">
      <c r="BD78" s="1">
        <v>5.4</v>
      </c>
      <c r="BE78" s="31">
        <v>5.3</v>
      </c>
      <c r="BF78">
        <v>5</v>
      </c>
      <c r="BG78">
        <v>4.9000000000000004</v>
      </c>
    </row>
    <row r="79" spans="1:72" x14ac:dyDescent="0.2">
      <c r="BD79" s="1">
        <v>9</v>
      </c>
      <c r="BE79" s="31">
        <v>8.3000000000000007</v>
      </c>
      <c r="BF79">
        <v>6.2</v>
      </c>
      <c r="BG79">
        <v>6.4</v>
      </c>
    </row>
    <row r="80" spans="1:72" x14ac:dyDescent="0.2">
      <c r="BD80" s="1">
        <v>3.4</v>
      </c>
      <c r="BE80" s="31">
        <v>3.6</v>
      </c>
      <c r="BF80">
        <v>3.4</v>
      </c>
      <c r="BG80">
        <v>3.8</v>
      </c>
    </row>
    <row r="81" spans="56:59" x14ac:dyDescent="0.2">
      <c r="BD81" s="1">
        <v>3.9</v>
      </c>
      <c r="BE81" s="31">
        <v>4.2</v>
      </c>
      <c r="BF81">
        <v>3.9</v>
      </c>
      <c r="BG81">
        <v>4.4000000000000004</v>
      </c>
    </row>
    <row r="82" spans="56:59" x14ac:dyDescent="0.2">
      <c r="BD82" s="1">
        <v>4.9000000000000004</v>
      </c>
      <c r="BE82" s="31">
        <v>4.9000000000000004</v>
      </c>
      <c r="BF82" s="4">
        <v>6.9</v>
      </c>
      <c r="BG82" s="4">
        <v>6.7</v>
      </c>
    </row>
    <row r="83" spans="56:59" x14ac:dyDescent="0.2">
      <c r="BD83" s="1">
        <v>4.3</v>
      </c>
      <c r="BE83" s="31">
        <v>4.5</v>
      </c>
      <c r="BF83">
        <v>5.3</v>
      </c>
      <c r="BG83">
        <v>4.8</v>
      </c>
    </row>
    <row r="84" spans="56:59" x14ac:dyDescent="0.2">
      <c r="BD84" s="35">
        <v>8.6</v>
      </c>
      <c r="BE84" s="31">
        <v>8.5</v>
      </c>
      <c r="BF84" s="7">
        <v>8.3000000000000007</v>
      </c>
      <c r="BG84" s="7">
        <v>8.4</v>
      </c>
    </row>
    <row r="85" spans="56:59" x14ac:dyDescent="0.2">
      <c r="BD85" s="35">
        <v>6.1</v>
      </c>
      <c r="BE85" s="31">
        <v>6</v>
      </c>
      <c r="BF85" s="4">
        <v>7.4</v>
      </c>
      <c r="BG85" s="4">
        <v>7.3</v>
      </c>
    </row>
    <row r="86" spans="56:59" x14ac:dyDescent="0.2">
      <c r="BD86" s="1">
        <v>4.0999999999999996</v>
      </c>
      <c r="BE86" s="31">
        <v>4.3</v>
      </c>
      <c r="BF86">
        <v>3.9</v>
      </c>
      <c r="BG86">
        <v>3.9</v>
      </c>
    </row>
    <row r="87" spans="56:59" x14ac:dyDescent="0.2">
      <c r="BD87" s="1">
        <v>3.6</v>
      </c>
      <c r="BE87" s="31">
        <v>3.8</v>
      </c>
      <c r="BF87">
        <v>4.4000000000000004</v>
      </c>
      <c r="BG87">
        <v>4.2</v>
      </c>
    </row>
    <row r="88" spans="56:59" x14ac:dyDescent="0.2">
      <c r="BD88" s="35">
        <v>4.5</v>
      </c>
      <c r="BE88" s="31">
        <v>4.4000000000000004</v>
      </c>
      <c r="BF88">
        <v>4.5999999999999996</v>
      </c>
      <c r="BG88">
        <v>4.7</v>
      </c>
    </row>
    <row r="89" spans="56:59" x14ac:dyDescent="0.2">
      <c r="BD89" s="35">
        <v>4.8</v>
      </c>
      <c r="BE89" s="31">
        <v>4.8</v>
      </c>
      <c r="BF89" s="7">
        <v>4.9000000000000004</v>
      </c>
      <c r="BG89" s="7">
        <v>4.9000000000000004</v>
      </c>
    </row>
    <row r="90" spans="56:59" x14ac:dyDescent="0.2">
      <c r="BD90" s="1">
        <v>3.8</v>
      </c>
      <c r="BE90" s="31">
        <v>4.0999999999999996</v>
      </c>
      <c r="BF90" s="7">
        <v>5.2</v>
      </c>
      <c r="BG90" s="7">
        <v>4.9000000000000004</v>
      </c>
    </row>
    <row r="91" spans="56:59" x14ac:dyDescent="0.2">
      <c r="BD91" s="9">
        <v>5</v>
      </c>
      <c r="BE91" s="32">
        <v>4.9000000000000004</v>
      </c>
      <c r="BF91" s="8">
        <v>4.4000000000000004</v>
      </c>
      <c r="BG91" s="8">
        <v>4.5</v>
      </c>
    </row>
    <row r="92" spans="56:59" x14ac:dyDescent="0.2">
      <c r="BD92" s="1">
        <v>4.8</v>
      </c>
      <c r="BE92" s="31">
        <v>4.4000000000000004</v>
      </c>
      <c r="BF92">
        <v>4.5</v>
      </c>
      <c r="BG92">
        <v>4.8</v>
      </c>
    </row>
    <row r="93" spans="56:59" x14ac:dyDescent="0.2">
      <c r="BD93" s="1">
        <v>5</v>
      </c>
      <c r="BE93" s="31">
        <v>5</v>
      </c>
      <c r="BF93">
        <v>5.6</v>
      </c>
      <c r="BG93">
        <v>5.2</v>
      </c>
    </row>
    <row r="94" spans="56:59" x14ac:dyDescent="0.2">
      <c r="BD94" s="35">
        <v>5.7</v>
      </c>
      <c r="BE94" s="31">
        <v>5.2</v>
      </c>
      <c r="BF94" s="4">
        <v>9.9</v>
      </c>
      <c r="BG94" s="4">
        <v>8.4</v>
      </c>
    </row>
    <row r="95" spans="56:59" x14ac:dyDescent="0.2">
      <c r="BD95" s="1">
        <v>3.7</v>
      </c>
      <c r="BE95" s="31">
        <v>3.8</v>
      </c>
      <c r="BF95" s="4">
        <v>14.2</v>
      </c>
      <c r="BG95" s="4">
        <v>14.5</v>
      </c>
    </row>
    <row r="96" spans="56:59" x14ac:dyDescent="0.2">
      <c r="BD96" s="1">
        <v>5.8</v>
      </c>
      <c r="BE96" s="31">
        <v>6.5</v>
      </c>
      <c r="BF96">
        <v>4</v>
      </c>
      <c r="BG96">
        <v>3.9</v>
      </c>
    </row>
    <row r="97" spans="56:59" x14ac:dyDescent="0.2">
      <c r="BD97" s="1">
        <v>7</v>
      </c>
      <c r="BE97" s="31">
        <v>6.7</v>
      </c>
      <c r="BF97">
        <v>15.9</v>
      </c>
      <c r="BG97">
        <v>15.6</v>
      </c>
    </row>
    <row r="98" spans="56:59" x14ac:dyDescent="0.2">
      <c r="BD98" s="1">
        <v>5.6</v>
      </c>
      <c r="BE98" s="31">
        <v>5.5</v>
      </c>
      <c r="BF98" s="7">
        <v>7.7</v>
      </c>
      <c r="BG98" s="7">
        <v>7.4</v>
      </c>
    </row>
    <row r="99" spans="56:59" x14ac:dyDescent="0.2">
      <c r="BD99" s="1">
        <v>4.7</v>
      </c>
      <c r="BE99" s="31">
        <v>4.9000000000000004</v>
      </c>
      <c r="BF99" s="4">
        <v>11.7</v>
      </c>
      <c r="BG99" s="4">
        <v>12.1</v>
      </c>
    </row>
    <row r="100" spans="56:59" x14ac:dyDescent="0.2">
      <c r="BD100" s="1">
        <v>3.8</v>
      </c>
      <c r="BE100" s="31">
        <v>4</v>
      </c>
      <c r="BF100">
        <v>6.1</v>
      </c>
      <c r="BG100">
        <v>6.6</v>
      </c>
    </row>
    <row r="101" spans="56:59" x14ac:dyDescent="0.2">
      <c r="BD101" s="1">
        <v>4.2</v>
      </c>
      <c r="BE101" s="31">
        <v>4.2</v>
      </c>
      <c r="BF101">
        <v>6</v>
      </c>
      <c r="BG101">
        <v>5.4</v>
      </c>
    </row>
    <row r="102" spans="56:59" x14ac:dyDescent="0.2">
      <c r="BD102" s="1">
        <v>4.5</v>
      </c>
      <c r="BE102" s="31">
        <v>4.5999999999999996</v>
      </c>
      <c r="BF102">
        <v>4.5999999999999996</v>
      </c>
      <c r="BG102">
        <v>4.7</v>
      </c>
    </row>
    <row r="103" spans="56:59" x14ac:dyDescent="0.2">
      <c r="BD103" s="1">
        <v>4.5999999999999996</v>
      </c>
      <c r="BE103" s="31">
        <v>5</v>
      </c>
      <c r="BF103">
        <v>4.4000000000000004</v>
      </c>
      <c r="BG103">
        <v>4.5</v>
      </c>
    </row>
    <row r="104" spans="56:59" x14ac:dyDescent="0.2">
      <c r="BD104" s="1">
        <v>4</v>
      </c>
      <c r="BE104" s="31">
        <v>3.7</v>
      </c>
      <c r="BF104">
        <v>4.5</v>
      </c>
      <c r="BG104">
        <v>4.4000000000000004</v>
      </c>
    </row>
    <row r="105" spans="56:59" x14ac:dyDescent="0.2">
      <c r="BD105" s="1">
        <v>3.3</v>
      </c>
      <c r="BE105" s="31">
        <v>3.3</v>
      </c>
      <c r="BF105">
        <v>3.7</v>
      </c>
      <c r="BG105">
        <v>4</v>
      </c>
    </row>
    <row r="106" spans="56:59" x14ac:dyDescent="0.2">
      <c r="BD106" s="1">
        <v>3.6</v>
      </c>
      <c r="BE106" s="31">
        <v>3.5</v>
      </c>
      <c r="BF106">
        <v>4</v>
      </c>
      <c r="BG106">
        <v>4</v>
      </c>
    </row>
    <row r="107" spans="56:59" x14ac:dyDescent="0.2">
      <c r="BD107" s="1">
        <v>4.5</v>
      </c>
      <c r="BE107" s="31">
        <v>4.5999999999999996</v>
      </c>
      <c r="BF107">
        <v>4</v>
      </c>
      <c r="BG107">
        <v>4.5</v>
      </c>
    </row>
    <row r="108" spans="56:59" x14ac:dyDescent="0.2">
      <c r="BD108" s="1">
        <v>3.6</v>
      </c>
      <c r="BE108" s="31">
        <v>3.5</v>
      </c>
      <c r="BF108">
        <v>3.7</v>
      </c>
      <c r="BG108">
        <v>3.8</v>
      </c>
    </row>
    <row r="109" spans="56:59" x14ac:dyDescent="0.2">
      <c r="BD109" s="1">
        <v>3.7</v>
      </c>
      <c r="BE109" s="31">
        <v>3.8</v>
      </c>
      <c r="BF109">
        <v>4.2</v>
      </c>
      <c r="BG109">
        <v>4.4000000000000004</v>
      </c>
    </row>
    <row r="110" spans="56:59" x14ac:dyDescent="0.2">
      <c r="BD110" s="36">
        <v>6.1</v>
      </c>
      <c r="BE110" s="31">
        <v>6.1</v>
      </c>
      <c r="BF110" s="4">
        <v>7.2</v>
      </c>
      <c r="BG110" s="4">
        <v>6.9</v>
      </c>
    </row>
    <row r="111" spans="56:59" x14ac:dyDescent="0.2">
      <c r="BD111" s="36">
        <v>5.8</v>
      </c>
      <c r="BE111" s="31">
        <v>6</v>
      </c>
      <c r="BF111" s="4">
        <v>7.9</v>
      </c>
      <c r="BG111" s="4">
        <v>7.4</v>
      </c>
    </row>
    <row r="112" spans="56:59" x14ac:dyDescent="0.2">
      <c r="BD112" s="1">
        <v>4.4000000000000004</v>
      </c>
      <c r="BE112" s="31">
        <v>4.2</v>
      </c>
      <c r="BF112" s="7">
        <v>6.1</v>
      </c>
      <c r="BG112" s="7">
        <v>6.5</v>
      </c>
    </row>
    <row r="113" spans="56:59" x14ac:dyDescent="0.2">
      <c r="BD113" s="1">
        <v>7.5</v>
      </c>
      <c r="BE113" s="31">
        <v>7.3</v>
      </c>
      <c r="BF113" s="7">
        <v>7.2</v>
      </c>
      <c r="BG113" s="7">
        <v>7</v>
      </c>
    </row>
    <row r="114" spans="56:59" x14ac:dyDescent="0.2">
      <c r="BD114" s="1">
        <v>4.2</v>
      </c>
      <c r="BE114" s="31">
        <v>4.2</v>
      </c>
      <c r="BF114">
        <v>3.5</v>
      </c>
      <c r="BG114">
        <v>3.5</v>
      </c>
    </row>
    <row r="115" spans="56:59" x14ac:dyDescent="0.2">
      <c r="BD115" s="1">
        <v>3.6</v>
      </c>
      <c r="BE115" s="31">
        <v>3.6</v>
      </c>
      <c r="BF115">
        <v>3.6</v>
      </c>
      <c r="BG115">
        <v>3.4</v>
      </c>
    </row>
    <row r="116" spans="56:59" x14ac:dyDescent="0.2">
      <c r="BD116" s="1">
        <v>5.0999999999999996</v>
      </c>
      <c r="BE116" s="31">
        <v>4.9000000000000004</v>
      </c>
      <c r="BF116">
        <v>7.2</v>
      </c>
      <c r="BG116" s="7">
        <v>8</v>
      </c>
    </row>
    <row r="117" spans="56:59" x14ac:dyDescent="0.2">
      <c r="BD117" s="1">
        <v>4.5</v>
      </c>
      <c r="BE117" s="31">
        <v>4.5</v>
      </c>
      <c r="BF117">
        <v>5.5</v>
      </c>
      <c r="BG117">
        <v>6.1</v>
      </c>
    </row>
    <row r="118" spans="56:59" x14ac:dyDescent="0.2">
      <c r="BD118" s="1">
        <v>4.5</v>
      </c>
      <c r="BE118" s="31">
        <v>4.5999999999999996</v>
      </c>
      <c r="BF118">
        <v>3.7</v>
      </c>
      <c r="BG118">
        <v>3.9</v>
      </c>
    </row>
    <row r="119" spans="56:59" x14ac:dyDescent="0.2">
      <c r="BD119" s="1">
        <v>4.4000000000000004</v>
      </c>
      <c r="BE119" s="31">
        <v>4.7</v>
      </c>
      <c r="BF119">
        <v>4.5999999999999996</v>
      </c>
      <c r="BG119">
        <v>4.7</v>
      </c>
    </row>
    <row r="120" spans="56:59" x14ac:dyDescent="0.2">
      <c r="BD120" s="1">
        <v>3.7</v>
      </c>
      <c r="BE120" s="31">
        <v>3.9</v>
      </c>
      <c r="BF120">
        <v>6.3</v>
      </c>
      <c r="BG120">
        <v>6.2</v>
      </c>
    </row>
    <row r="121" spans="56:59" x14ac:dyDescent="0.2">
      <c r="BD121" s="1">
        <v>5.0999999999999996</v>
      </c>
      <c r="BE121" s="31">
        <v>5.2</v>
      </c>
      <c r="BF121">
        <v>5.9</v>
      </c>
      <c r="BG121">
        <v>6</v>
      </c>
    </row>
    <row r="122" spans="56:59" x14ac:dyDescent="0.2">
      <c r="BD122" s="1">
        <v>4.5999999999999996</v>
      </c>
      <c r="BE122" s="31">
        <v>4.4000000000000004</v>
      </c>
      <c r="BF122">
        <v>3.7</v>
      </c>
      <c r="BG122" s="7">
        <v>3.9</v>
      </c>
    </row>
    <row r="123" spans="56:59" x14ac:dyDescent="0.2">
      <c r="BD123" s="1">
        <v>3.7</v>
      </c>
      <c r="BE123" s="31">
        <v>3.8</v>
      </c>
      <c r="BF123" s="7">
        <v>6.8</v>
      </c>
      <c r="BG123" s="7">
        <v>6.8</v>
      </c>
    </row>
    <row r="124" spans="56:59" x14ac:dyDescent="0.2">
      <c r="BD124" s="1">
        <v>4.5</v>
      </c>
      <c r="BE124" s="31">
        <v>4.9000000000000004</v>
      </c>
      <c r="BF124" s="7">
        <v>5.2</v>
      </c>
      <c r="BG124" s="7">
        <v>4.3</v>
      </c>
    </row>
    <row r="125" spans="56:59" x14ac:dyDescent="0.2">
      <c r="BD125" s="1">
        <v>4.3</v>
      </c>
      <c r="BE125" s="31">
        <v>4.5</v>
      </c>
      <c r="BF125">
        <v>3.3</v>
      </c>
      <c r="BG125">
        <v>3.1</v>
      </c>
    </row>
    <row r="126" spans="56:59" x14ac:dyDescent="0.2">
      <c r="BD126" s="1">
        <v>4.5999999999999996</v>
      </c>
      <c r="BE126" s="31">
        <v>4.0999999999999996</v>
      </c>
      <c r="BF126" s="7">
        <v>6</v>
      </c>
      <c r="BG126" s="7">
        <v>7.2</v>
      </c>
    </row>
    <row r="127" spans="56:59" x14ac:dyDescent="0.2">
      <c r="BD127" s="1">
        <v>6</v>
      </c>
      <c r="BE127" s="31">
        <v>6.4</v>
      </c>
      <c r="BF127" s="7">
        <v>6.8</v>
      </c>
      <c r="BG127">
        <v>5.7</v>
      </c>
    </row>
    <row r="128" spans="56:59" x14ac:dyDescent="0.2">
      <c r="BD128" s="1">
        <v>4.7</v>
      </c>
      <c r="BE128" s="31">
        <v>4.9000000000000004</v>
      </c>
      <c r="BF128">
        <v>5</v>
      </c>
      <c r="BG128">
        <v>4.9000000000000004</v>
      </c>
    </row>
    <row r="129" spans="56:59" x14ac:dyDescent="0.2">
      <c r="BD129" s="1">
        <v>5.2</v>
      </c>
      <c r="BE129" s="31">
        <v>5.4</v>
      </c>
      <c r="BF129">
        <v>5.4</v>
      </c>
      <c r="BG129">
        <v>5.0999999999999996</v>
      </c>
    </row>
    <row r="130" spans="56:59" x14ac:dyDescent="0.2">
      <c r="BD130" s="37">
        <v>6.9</v>
      </c>
      <c r="BE130" s="31">
        <v>6.7</v>
      </c>
      <c r="BF130">
        <v>5.7</v>
      </c>
      <c r="BG130">
        <v>5.7</v>
      </c>
    </row>
    <row r="131" spans="56:59" x14ac:dyDescent="0.2">
      <c r="BD131" s="1">
        <v>3.8</v>
      </c>
      <c r="BE131" s="31">
        <v>3.7</v>
      </c>
      <c r="BF131">
        <v>5.2</v>
      </c>
      <c r="BG131">
        <v>5</v>
      </c>
    </row>
    <row r="132" spans="56:59" x14ac:dyDescent="0.2">
      <c r="BD132" s="1">
        <v>4.0999999999999996</v>
      </c>
      <c r="BE132" s="31">
        <v>4.2</v>
      </c>
      <c r="BF132" s="4">
        <v>5.8</v>
      </c>
      <c r="BG132" s="4">
        <v>6.1</v>
      </c>
    </row>
    <row r="133" spans="56:59" x14ac:dyDescent="0.2">
      <c r="BD133" s="1">
        <v>4.3</v>
      </c>
      <c r="BE133" s="31">
        <v>4.4000000000000004</v>
      </c>
      <c r="BF133">
        <v>5</v>
      </c>
      <c r="BG133">
        <v>4.4000000000000004</v>
      </c>
    </row>
    <row r="134" spans="56:59" x14ac:dyDescent="0.2">
      <c r="BD134" s="1">
        <v>3.6</v>
      </c>
      <c r="BE134" s="31">
        <v>3.4</v>
      </c>
      <c r="BF134">
        <v>4.2</v>
      </c>
      <c r="BG134">
        <v>4.0999999999999996</v>
      </c>
    </row>
    <row r="135" spans="56:59" x14ac:dyDescent="0.2">
      <c r="BD135" s="1">
        <v>4.2</v>
      </c>
      <c r="BE135" s="31">
        <v>4.2</v>
      </c>
      <c r="BF135" s="4">
        <v>9.1</v>
      </c>
      <c r="BG135" s="4">
        <v>8.5</v>
      </c>
    </row>
    <row r="136" spans="56:59" x14ac:dyDescent="0.2">
      <c r="BD136" s="1">
        <v>5</v>
      </c>
      <c r="BE136" s="31">
        <v>4.7</v>
      </c>
      <c r="BF136">
        <v>4.7</v>
      </c>
      <c r="BG136">
        <v>4.3</v>
      </c>
    </row>
    <row r="137" spans="56:59" x14ac:dyDescent="0.2">
      <c r="BD137" s="1">
        <v>6.2</v>
      </c>
      <c r="BE137" s="31">
        <v>5.7</v>
      </c>
      <c r="BF137">
        <v>3.5</v>
      </c>
      <c r="BG137">
        <v>3.7</v>
      </c>
    </row>
    <row r="138" spans="56:59" x14ac:dyDescent="0.2">
      <c r="BD138" s="1">
        <v>3.4</v>
      </c>
      <c r="BE138" s="31">
        <v>3.3</v>
      </c>
      <c r="BF138">
        <v>6.8</v>
      </c>
      <c r="BG138">
        <v>6.3</v>
      </c>
    </row>
    <row r="139" spans="56:59" x14ac:dyDescent="0.2">
      <c r="BD139" s="1">
        <v>3.9</v>
      </c>
      <c r="BE139" s="31">
        <v>3.8</v>
      </c>
      <c r="BF139" s="4">
        <v>6.2</v>
      </c>
      <c r="BG139" s="4">
        <v>7</v>
      </c>
    </row>
    <row r="140" spans="56:59" x14ac:dyDescent="0.2">
      <c r="BD140" s="37">
        <v>6.9</v>
      </c>
      <c r="BE140" s="31">
        <v>7.3</v>
      </c>
      <c r="BF140">
        <v>3.8</v>
      </c>
      <c r="BG140">
        <v>3.5</v>
      </c>
    </row>
    <row r="141" spans="56:59" x14ac:dyDescent="0.2">
      <c r="BD141" s="1">
        <v>5.3</v>
      </c>
      <c r="BE141" s="31">
        <v>5.3</v>
      </c>
      <c r="BF141">
        <v>4.5999999999999996</v>
      </c>
      <c r="BG141">
        <v>4.5</v>
      </c>
    </row>
    <row r="142" spans="56:59" x14ac:dyDescent="0.2">
      <c r="BD142" s="35">
        <v>8.3000000000000007</v>
      </c>
      <c r="BE142" s="31">
        <v>7.9</v>
      </c>
      <c r="BF142" s="7">
        <v>5.3</v>
      </c>
      <c r="BG142" s="7">
        <v>5.6</v>
      </c>
    </row>
    <row r="143" spans="56:59" x14ac:dyDescent="0.2">
      <c r="BD143" s="37">
        <v>7.4</v>
      </c>
      <c r="BE143" s="31">
        <v>7.4</v>
      </c>
      <c r="BF143" s="7">
        <v>6.4</v>
      </c>
      <c r="BG143" s="7">
        <v>6.1</v>
      </c>
    </row>
    <row r="144" spans="56:59" x14ac:dyDescent="0.2">
      <c r="BD144" s="1">
        <v>3.9</v>
      </c>
      <c r="BE144" s="31">
        <v>4.4000000000000004</v>
      </c>
      <c r="BF144" s="4">
        <v>9.4</v>
      </c>
      <c r="BG144" s="4">
        <v>9.1</v>
      </c>
    </row>
    <row r="145" spans="56:59" x14ac:dyDescent="0.2">
      <c r="BD145" s="1">
        <v>4.4000000000000004</v>
      </c>
      <c r="BE145" s="31">
        <v>4.4000000000000004</v>
      </c>
      <c r="BF145" s="4">
        <v>6.4</v>
      </c>
      <c r="BG145" s="4">
        <v>6.2</v>
      </c>
    </row>
    <row r="146" spans="56:59" x14ac:dyDescent="0.2">
      <c r="BD146" s="1">
        <v>4.5999999999999996</v>
      </c>
      <c r="BE146" s="31">
        <v>4.7</v>
      </c>
      <c r="BF146">
        <v>5.4</v>
      </c>
      <c r="BG146">
        <v>5.8</v>
      </c>
    </row>
    <row r="147" spans="56:59" x14ac:dyDescent="0.2">
      <c r="BD147" s="35">
        <v>4.9000000000000004</v>
      </c>
      <c r="BE147" s="31">
        <v>5.0999999999999996</v>
      </c>
      <c r="BF147" s="7">
        <v>5.8</v>
      </c>
      <c r="BG147" s="7">
        <v>5.5</v>
      </c>
    </row>
    <row r="148" spans="56:59" x14ac:dyDescent="0.2">
      <c r="BD148" s="35">
        <v>5.2</v>
      </c>
      <c r="BE148" s="31">
        <v>5.0999999999999996</v>
      </c>
      <c r="BF148" s="7">
        <v>5.5</v>
      </c>
      <c r="BG148" s="7">
        <v>5.2</v>
      </c>
    </row>
    <row r="149" spans="56:59" x14ac:dyDescent="0.2">
      <c r="BD149" s="9">
        <v>4.4000000000000004</v>
      </c>
      <c r="BE149" s="32">
        <v>3.9</v>
      </c>
      <c r="BF149" s="12">
        <v>5.4</v>
      </c>
      <c r="BG149" s="12">
        <v>5.4</v>
      </c>
    </row>
    <row r="150" spans="56:59" x14ac:dyDescent="0.2">
      <c r="BD150" s="1">
        <v>4.5</v>
      </c>
      <c r="BE150" s="31">
        <v>4.5999999999999996</v>
      </c>
      <c r="BF150">
        <v>4.2</v>
      </c>
      <c r="BG150">
        <v>4.5</v>
      </c>
    </row>
    <row r="151" spans="56:59" x14ac:dyDescent="0.2">
      <c r="BD151" s="1">
        <v>5.6</v>
      </c>
      <c r="BE151" s="31">
        <v>5.9</v>
      </c>
      <c r="BF151">
        <v>5.7</v>
      </c>
      <c r="BG151">
        <v>5.0999999999999996</v>
      </c>
    </row>
    <row r="152" spans="56:59" x14ac:dyDescent="0.2">
      <c r="BD152" s="37">
        <v>9.9</v>
      </c>
      <c r="BE152" s="31">
        <v>8.5</v>
      </c>
      <c r="BF152" s="4">
        <v>8.1</v>
      </c>
      <c r="BG152" s="4">
        <v>8.1999999999999993</v>
      </c>
    </row>
    <row r="153" spans="56:59" x14ac:dyDescent="0.2">
      <c r="BD153" s="37">
        <v>14.2</v>
      </c>
      <c r="BE153" s="31">
        <v>13.1</v>
      </c>
      <c r="BF153" s="4">
        <v>13.3</v>
      </c>
      <c r="BG153" s="4">
        <v>12.8</v>
      </c>
    </row>
    <row r="154" spans="56:59" x14ac:dyDescent="0.2">
      <c r="BD154" s="1">
        <v>4</v>
      </c>
      <c r="BE154" s="31">
        <v>4</v>
      </c>
      <c r="BF154">
        <v>3.6</v>
      </c>
      <c r="BG154">
        <v>3.9</v>
      </c>
    </row>
    <row r="155" spans="56:59" x14ac:dyDescent="0.2">
      <c r="BD155" s="1">
        <v>15.9</v>
      </c>
      <c r="BE155" s="31">
        <v>16.100000000000001</v>
      </c>
      <c r="BF155">
        <v>14.3</v>
      </c>
      <c r="BG155">
        <v>15.4</v>
      </c>
    </row>
    <row r="156" spans="56:59" x14ac:dyDescent="0.2">
      <c r="BD156" s="35">
        <v>7.7</v>
      </c>
      <c r="BE156" s="31">
        <v>7.2</v>
      </c>
      <c r="BF156" s="4">
        <v>6.4</v>
      </c>
      <c r="BG156" s="4">
        <v>6.2</v>
      </c>
    </row>
    <row r="157" spans="56:59" x14ac:dyDescent="0.2">
      <c r="BD157" s="37">
        <v>11.7</v>
      </c>
      <c r="BE157" s="31">
        <v>12</v>
      </c>
      <c r="BF157" s="4">
        <v>10.8</v>
      </c>
      <c r="BG157" s="4">
        <v>10.6</v>
      </c>
    </row>
    <row r="158" spans="56:59" x14ac:dyDescent="0.2">
      <c r="BD158" s="1">
        <v>6.1</v>
      </c>
      <c r="BE158" s="31">
        <v>6.2</v>
      </c>
      <c r="BF158">
        <v>6.1</v>
      </c>
      <c r="BG158">
        <v>5.8</v>
      </c>
    </row>
    <row r="159" spans="56:59" x14ac:dyDescent="0.2">
      <c r="BD159" s="1">
        <v>6</v>
      </c>
      <c r="BE159" s="31">
        <v>6.1</v>
      </c>
      <c r="BF159">
        <v>6.4</v>
      </c>
      <c r="BG159">
        <v>6.2</v>
      </c>
    </row>
    <row r="160" spans="56:59" x14ac:dyDescent="0.2">
      <c r="BD160" s="1">
        <v>4.5999999999999996</v>
      </c>
      <c r="BE160" s="31">
        <v>4.4000000000000004</v>
      </c>
      <c r="BF160">
        <v>3.4</v>
      </c>
      <c r="BG160">
        <v>4.0999999999999996</v>
      </c>
    </row>
    <row r="161" spans="56:59" x14ac:dyDescent="0.2">
      <c r="BD161" s="1">
        <v>4.4000000000000004</v>
      </c>
      <c r="BE161" s="31">
        <v>4.3</v>
      </c>
      <c r="BF161" s="7">
        <v>5.2</v>
      </c>
      <c r="BG161" s="7">
        <v>5.6</v>
      </c>
    </row>
    <row r="162" spans="56:59" x14ac:dyDescent="0.2">
      <c r="BD162" s="1">
        <v>4.5</v>
      </c>
      <c r="BE162" s="31">
        <v>4.0999999999999996</v>
      </c>
      <c r="BF162">
        <v>4.0999999999999996</v>
      </c>
      <c r="BG162">
        <v>4.4000000000000004</v>
      </c>
    </row>
    <row r="163" spans="56:59" x14ac:dyDescent="0.2">
      <c r="BD163" s="1">
        <v>3.7</v>
      </c>
      <c r="BE163" s="31">
        <v>3.9</v>
      </c>
      <c r="BF163">
        <v>4</v>
      </c>
      <c r="BG163">
        <v>4</v>
      </c>
    </row>
    <row r="164" spans="56:59" x14ac:dyDescent="0.2">
      <c r="BD164" s="1">
        <v>4</v>
      </c>
      <c r="BE164" s="31">
        <v>4.3</v>
      </c>
      <c r="BF164">
        <v>4</v>
      </c>
      <c r="BG164">
        <v>4.7</v>
      </c>
    </row>
    <row r="165" spans="56:59" x14ac:dyDescent="0.2">
      <c r="BD165" s="1">
        <v>4</v>
      </c>
      <c r="BE165" s="31">
        <v>4.4000000000000004</v>
      </c>
      <c r="BF165">
        <v>3.7</v>
      </c>
      <c r="BG165">
        <v>4</v>
      </c>
    </row>
    <row r="166" spans="56:59" x14ac:dyDescent="0.2">
      <c r="BD166" s="1">
        <v>3.7</v>
      </c>
      <c r="BE166" s="31">
        <v>3.7</v>
      </c>
      <c r="BF166">
        <v>3.4</v>
      </c>
      <c r="BG166">
        <v>3.5</v>
      </c>
    </row>
    <row r="167" spans="56:59" x14ac:dyDescent="0.2">
      <c r="BD167" s="1">
        <v>4.2</v>
      </c>
      <c r="BE167" s="31">
        <v>4.3</v>
      </c>
      <c r="BF167" s="7">
        <v>4.8</v>
      </c>
      <c r="BG167" s="7">
        <v>4.4000000000000004</v>
      </c>
    </row>
    <row r="168" spans="56:59" x14ac:dyDescent="0.2">
      <c r="BD168" s="37">
        <v>7.2</v>
      </c>
      <c r="BE168" s="31">
        <v>7.1</v>
      </c>
      <c r="BF168" s="4">
        <v>7.2</v>
      </c>
      <c r="BG168" s="4">
        <v>6.9</v>
      </c>
    </row>
    <row r="169" spans="56:59" x14ac:dyDescent="0.2">
      <c r="BD169" s="37">
        <v>7.9</v>
      </c>
      <c r="BE169" s="31">
        <v>8.1</v>
      </c>
      <c r="BF169" s="4">
        <v>7.5</v>
      </c>
      <c r="BG169" s="4">
        <v>7.9</v>
      </c>
    </row>
    <row r="170" spans="56:59" x14ac:dyDescent="0.2">
      <c r="BD170" s="35">
        <v>6.1</v>
      </c>
      <c r="BE170" s="31">
        <v>6.4</v>
      </c>
      <c r="BF170" s="7">
        <v>5.8</v>
      </c>
      <c r="BG170" s="7">
        <v>6.3</v>
      </c>
    </row>
    <row r="171" spans="56:59" x14ac:dyDescent="0.2">
      <c r="BD171" s="35">
        <v>7.2</v>
      </c>
      <c r="BE171" s="31">
        <v>7.4</v>
      </c>
      <c r="BF171" s="4">
        <v>9.4</v>
      </c>
      <c r="BG171" s="4">
        <v>9.4</v>
      </c>
    </row>
    <row r="172" spans="56:59" x14ac:dyDescent="0.2">
      <c r="BD172" s="1">
        <v>3.5</v>
      </c>
      <c r="BE172" s="31">
        <v>3.5</v>
      </c>
      <c r="BF172">
        <v>3.7</v>
      </c>
      <c r="BG172">
        <v>4.0999999999999996</v>
      </c>
    </row>
    <row r="173" spans="56:59" x14ac:dyDescent="0.2">
      <c r="BD173" s="1">
        <v>3.6</v>
      </c>
      <c r="BE173" s="31">
        <v>3.8</v>
      </c>
      <c r="BF173">
        <v>3.1</v>
      </c>
      <c r="BG173">
        <v>3.2</v>
      </c>
    </row>
    <row r="174" spans="56:59" x14ac:dyDescent="0.2">
      <c r="BD174" s="1">
        <v>7.2</v>
      </c>
      <c r="BE174" s="31">
        <v>6.8</v>
      </c>
      <c r="BF174" s="4">
        <v>5.8</v>
      </c>
      <c r="BG174" s="4">
        <v>6.7</v>
      </c>
    </row>
    <row r="175" spans="56:59" x14ac:dyDescent="0.2">
      <c r="BD175" s="1">
        <v>5.5</v>
      </c>
      <c r="BE175" s="31">
        <v>5.5</v>
      </c>
      <c r="BF175" s="4">
        <v>6.1</v>
      </c>
      <c r="BG175" s="4">
        <v>6.3</v>
      </c>
    </row>
    <row r="176" spans="56:59" x14ac:dyDescent="0.2">
      <c r="BD176" s="1">
        <v>3.7</v>
      </c>
      <c r="BE176" s="31">
        <v>3.7</v>
      </c>
      <c r="BF176">
        <v>3.5</v>
      </c>
      <c r="BG176">
        <v>3.5</v>
      </c>
    </row>
    <row r="177" spans="56:59" x14ac:dyDescent="0.2">
      <c r="BD177" s="1">
        <v>4.5999999999999996</v>
      </c>
      <c r="BE177" s="31">
        <v>4.7</v>
      </c>
      <c r="BF177">
        <v>4.5</v>
      </c>
      <c r="BG177">
        <v>3.8</v>
      </c>
    </row>
    <row r="178" spans="56:59" x14ac:dyDescent="0.2">
      <c r="BD178" s="1">
        <v>4.5999999999999996</v>
      </c>
      <c r="BE178" s="31">
        <v>4.8</v>
      </c>
      <c r="BF178" s="31">
        <v>4.3</v>
      </c>
      <c r="BG178" s="31">
        <v>4.4000000000000004</v>
      </c>
    </row>
    <row r="179" spans="56:59" x14ac:dyDescent="0.2">
      <c r="BD179" s="1">
        <v>4.5</v>
      </c>
      <c r="BE179" s="31">
        <v>4.4000000000000004</v>
      </c>
      <c r="BF179" s="31">
        <v>4.3</v>
      </c>
      <c r="BG179" s="31">
        <v>4.5999999999999996</v>
      </c>
    </row>
    <row r="180" spans="56:59" x14ac:dyDescent="0.2">
      <c r="BD180" s="1">
        <v>3.6</v>
      </c>
      <c r="BE180" s="31">
        <v>3.9</v>
      </c>
      <c r="BF180" s="31">
        <v>3.6</v>
      </c>
      <c r="BG180" s="31">
        <v>3.7</v>
      </c>
    </row>
    <row r="181" spans="56:59" x14ac:dyDescent="0.2">
      <c r="BD181" s="1">
        <v>5.3</v>
      </c>
      <c r="BE181" s="31">
        <v>5.3</v>
      </c>
      <c r="BF181" s="31">
        <v>5.0999999999999996</v>
      </c>
      <c r="BG181" s="31">
        <v>5.2</v>
      </c>
    </row>
    <row r="182" spans="56:59" x14ac:dyDescent="0.2">
      <c r="BD182" s="35">
        <v>5.3</v>
      </c>
      <c r="BE182" s="31">
        <v>4.4000000000000004</v>
      </c>
      <c r="BF182" s="31">
        <v>3.6</v>
      </c>
      <c r="BG182" s="31">
        <v>4.3</v>
      </c>
    </row>
    <row r="183" spans="56:59" x14ac:dyDescent="0.2">
      <c r="BD183" s="1">
        <v>4</v>
      </c>
      <c r="BE183" s="31">
        <v>4</v>
      </c>
      <c r="BF183" s="31">
        <v>3</v>
      </c>
      <c r="BG183" s="31">
        <v>3.2</v>
      </c>
    </row>
    <row r="184" spans="56:59" x14ac:dyDescent="0.2">
      <c r="BD184" s="1">
        <v>4.8</v>
      </c>
      <c r="BE184" s="31">
        <v>4.9000000000000004</v>
      </c>
      <c r="BF184" s="31">
        <v>5.0999999999999996</v>
      </c>
      <c r="BG184" s="31">
        <v>4.9000000000000004</v>
      </c>
    </row>
    <row r="185" spans="56:59" x14ac:dyDescent="0.2">
      <c r="BD185" s="1">
        <v>4.5</v>
      </c>
      <c r="BE185" s="31">
        <v>4.8</v>
      </c>
      <c r="BF185" s="31">
        <v>4.7</v>
      </c>
      <c r="BG185" s="31">
        <v>4.5</v>
      </c>
    </row>
    <row r="186" spans="56:59" x14ac:dyDescent="0.2">
      <c r="BD186" s="1">
        <v>4.8</v>
      </c>
      <c r="BE186" s="31">
        <v>5.0999999999999996</v>
      </c>
      <c r="BF186" s="31">
        <v>4.7</v>
      </c>
      <c r="BG186" s="31">
        <v>4.7</v>
      </c>
    </row>
    <row r="187" spans="56:59" x14ac:dyDescent="0.2">
      <c r="BD187" s="1">
        <v>5.8</v>
      </c>
      <c r="BE187" s="31">
        <v>5.8</v>
      </c>
      <c r="BF187" s="31">
        <v>4.5</v>
      </c>
      <c r="BG187" s="31">
        <v>4.7</v>
      </c>
    </row>
    <row r="188" spans="56:59" x14ac:dyDescent="0.2">
      <c r="BD188" s="1">
        <v>4.9000000000000004</v>
      </c>
      <c r="BE188" s="31">
        <v>5</v>
      </c>
      <c r="BF188" s="31">
        <v>5</v>
      </c>
      <c r="BG188" s="31">
        <v>5</v>
      </c>
    </row>
    <row r="189" spans="56:59" x14ac:dyDescent="0.2">
      <c r="BD189" s="1">
        <v>5.4</v>
      </c>
      <c r="BE189" s="31">
        <v>5.7</v>
      </c>
      <c r="BF189" s="31">
        <v>5.5</v>
      </c>
      <c r="BG189" s="31">
        <v>4.3</v>
      </c>
    </row>
    <row r="190" spans="56:59" x14ac:dyDescent="0.2">
      <c r="BD190" s="37">
        <v>6.6</v>
      </c>
      <c r="BE190" s="31">
        <v>7</v>
      </c>
      <c r="BF190" s="31">
        <v>6.6</v>
      </c>
      <c r="BG190" s="31">
        <v>6.4</v>
      </c>
    </row>
    <row r="191" spans="56:59" x14ac:dyDescent="0.2">
      <c r="BD191" s="1">
        <v>3.7</v>
      </c>
      <c r="BE191" s="31">
        <v>3.7</v>
      </c>
      <c r="BF191" s="31">
        <v>4.0999999999999996</v>
      </c>
      <c r="BG191" s="31">
        <v>3.4</v>
      </c>
    </row>
    <row r="192" spans="56:59" x14ac:dyDescent="0.2">
      <c r="BD192" s="1">
        <v>4</v>
      </c>
      <c r="BE192" s="31">
        <v>4.3</v>
      </c>
      <c r="BF192" s="31">
        <v>3.7</v>
      </c>
      <c r="BG192" s="31">
        <v>3.7</v>
      </c>
    </row>
    <row r="193" spans="56:59" x14ac:dyDescent="0.2">
      <c r="BD193" s="1">
        <v>4.8</v>
      </c>
      <c r="BE193" s="31">
        <v>4.7</v>
      </c>
      <c r="BF193" s="31">
        <v>5.2</v>
      </c>
      <c r="BG193" s="31">
        <v>4.8</v>
      </c>
    </row>
    <row r="194" spans="56:59" x14ac:dyDescent="0.2">
      <c r="BD194" s="1">
        <v>3.6</v>
      </c>
      <c r="BE194" s="31">
        <v>3.6</v>
      </c>
      <c r="BF194" s="31">
        <v>3.5</v>
      </c>
      <c r="BG194" s="31">
        <v>3.5</v>
      </c>
    </row>
    <row r="195" spans="56:59" x14ac:dyDescent="0.2">
      <c r="BD195" s="1">
        <v>3.8</v>
      </c>
      <c r="BE195" s="31">
        <v>4</v>
      </c>
      <c r="BF195" s="31">
        <v>5.5</v>
      </c>
      <c r="BG195" s="31">
        <v>5.4</v>
      </c>
    </row>
    <row r="196" spans="56:59" x14ac:dyDescent="0.2">
      <c r="BD196" s="1">
        <v>4.9000000000000004</v>
      </c>
      <c r="BE196" s="31">
        <v>5.0999999999999996</v>
      </c>
      <c r="BF196" s="31">
        <v>8.3000000000000007</v>
      </c>
      <c r="BG196" s="31">
        <v>9</v>
      </c>
    </row>
    <row r="197" spans="56:59" x14ac:dyDescent="0.2">
      <c r="BD197" s="1">
        <v>6.4</v>
      </c>
      <c r="BE197" s="31">
        <v>5.6</v>
      </c>
      <c r="BF197" s="31">
        <v>7</v>
      </c>
      <c r="BG197" s="31">
        <v>7.6</v>
      </c>
    </row>
    <row r="198" spans="56:59" x14ac:dyDescent="0.2">
      <c r="BD198" s="1">
        <v>3.8</v>
      </c>
      <c r="BE198" s="31">
        <v>3.9</v>
      </c>
      <c r="BF198" s="31">
        <v>5.8</v>
      </c>
      <c r="BG198" s="31">
        <v>5.3</v>
      </c>
    </row>
    <row r="199" spans="56:59" x14ac:dyDescent="0.2">
      <c r="BD199" s="1">
        <v>4.4000000000000004</v>
      </c>
      <c r="BE199" s="31">
        <v>4.8</v>
      </c>
      <c r="BF199" s="31">
        <v>9.6</v>
      </c>
      <c r="BG199" s="31">
        <v>8.3000000000000007</v>
      </c>
    </row>
    <row r="200" spans="56:59" x14ac:dyDescent="0.2">
      <c r="BD200" s="37">
        <v>6.7</v>
      </c>
      <c r="BE200" s="31">
        <v>6.8</v>
      </c>
      <c r="BF200" s="31">
        <v>3.7</v>
      </c>
      <c r="BG200" s="31">
        <v>3.6</v>
      </c>
    </row>
    <row r="201" spans="56:59" x14ac:dyDescent="0.2">
      <c r="BD201" s="1">
        <v>4.8</v>
      </c>
      <c r="BE201" s="31">
        <v>5.0999999999999996</v>
      </c>
      <c r="BF201" s="31">
        <v>3.8</v>
      </c>
      <c r="BG201" s="31">
        <v>4.2</v>
      </c>
    </row>
    <row r="202" spans="56:59" x14ac:dyDescent="0.2">
      <c r="BD202" s="35">
        <v>8.4</v>
      </c>
      <c r="BE202" s="31">
        <v>8.4</v>
      </c>
      <c r="BF202" s="31">
        <v>4.7</v>
      </c>
      <c r="BG202" s="31">
        <v>4.9000000000000004</v>
      </c>
    </row>
    <row r="203" spans="56:59" x14ac:dyDescent="0.2">
      <c r="BD203" s="37">
        <v>7.3</v>
      </c>
      <c r="BE203" s="31">
        <v>7.4</v>
      </c>
      <c r="BF203" s="31">
        <v>3.8</v>
      </c>
      <c r="BG203" s="31">
        <v>4.5</v>
      </c>
    </row>
    <row r="204" spans="56:59" x14ac:dyDescent="0.2">
      <c r="BD204" s="1">
        <v>3.9</v>
      </c>
      <c r="BE204" s="31">
        <v>4</v>
      </c>
      <c r="BF204" s="31">
        <v>8.3000000000000007</v>
      </c>
      <c r="BG204" s="31">
        <v>8.5</v>
      </c>
    </row>
    <row r="205" spans="56:59" x14ac:dyDescent="0.2">
      <c r="BD205" s="1">
        <v>4.2</v>
      </c>
      <c r="BE205" s="31">
        <v>4.5</v>
      </c>
      <c r="BF205" s="31">
        <v>5.6</v>
      </c>
      <c r="BG205" s="31">
        <v>6</v>
      </c>
    </row>
    <row r="206" spans="56:59" x14ac:dyDescent="0.2">
      <c r="BD206" s="1">
        <v>4.7</v>
      </c>
      <c r="BE206" s="31">
        <v>5</v>
      </c>
      <c r="BF206" s="31">
        <v>3.6</v>
      </c>
      <c r="BG206" s="31">
        <v>4.3</v>
      </c>
    </row>
    <row r="207" spans="56:59" x14ac:dyDescent="0.2">
      <c r="BD207" s="35">
        <v>4.9000000000000004</v>
      </c>
      <c r="BE207" s="31">
        <v>5.7</v>
      </c>
      <c r="BF207" s="31">
        <v>3.8</v>
      </c>
      <c r="BG207" s="31">
        <v>3.8</v>
      </c>
    </row>
    <row r="208" spans="56:59" x14ac:dyDescent="0.2">
      <c r="BD208" s="35">
        <v>4.9000000000000004</v>
      </c>
      <c r="BE208" s="31">
        <v>5.5</v>
      </c>
      <c r="BF208" s="31">
        <v>4.3</v>
      </c>
      <c r="BG208" s="31">
        <v>4.4000000000000004</v>
      </c>
    </row>
    <row r="209" spans="56:59" x14ac:dyDescent="0.2">
      <c r="BD209" s="9">
        <v>4.5</v>
      </c>
      <c r="BE209" s="32">
        <v>4.5</v>
      </c>
      <c r="BF209" s="31">
        <v>4.4000000000000004</v>
      </c>
      <c r="BG209" s="31">
        <v>4.8</v>
      </c>
    </row>
    <row r="210" spans="56:59" x14ac:dyDescent="0.2">
      <c r="BD210" s="1">
        <v>4.8</v>
      </c>
      <c r="BE210" s="31">
        <v>4.5999999999999996</v>
      </c>
      <c r="BF210" s="31">
        <v>3.9</v>
      </c>
      <c r="BG210" s="31">
        <v>4.0999999999999996</v>
      </c>
    </row>
    <row r="211" spans="56:59" x14ac:dyDescent="0.2">
      <c r="BD211" s="1">
        <v>5.2</v>
      </c>
      <c r="BE211" s="31">
        <v>5.3</v>
      </c>
      <c r="BF211" s="32">
        <v>5.9</v>
      </c>
      <c r="BG211" s="32">
        <v>4.9000000000000004</v>
      </c>
    </row>
    <row r="212" spans="56:59" x14ac:dyDescent="0.2">
      <c r="BD212" s="37">
        <v>8.4</v>
      </c>
      <c r="BE212" s="31">
        <v>10.3</v>
      </c>
      <c r="BF212" s="31">
        <v>4.3</v>
      </c>
      <c r="BG212" s="31">
        <v>4.4000000000000004</v>
      </c>
    </row>
    <row r="213" spans="56:59" x14ac:dyDescent="0.2">
      <c r="BD213" s="37">
        <v>14.5</v>
      </c>
      <c r="BE213" s="31">
        <v>12.7</v>
      </c>
      <c r="BF213" s="31">
        <v>4.9000000000000004</v>
      </c>
      <c r="BG213" s="31">
        <v>5</v>
      </c>
    </row>
    <row r="214" spans="56:59" x14ac:dyDescent="0.2">
      <c r="BD214" s="1">
        <v>3.9</v>
      </c>
      <c r="BE214" s="31">
        <v>3.9</v>
      </c>
      <c r="BF214" s="31">
        <v>6.7</v>
      </c>
      <c r="BG214" s="31">
        <v>5.2</v>
      </c>
    </row>
    <row r="215" spans="56:59" x14ac:dyDescent="0.2">
      <c r="BD215" s="1">
        <v>15.6</v>
      </c>
      <c r="BE215" s="31">
        <v>15.6</v>
      </c>
      <c r="BF215" s="31">
        <v>13.5</v>
      </c>
      <c r="BG215" s="31">
        <v>13.1</v>
      </c>
    </row>
    <row r="216" spans="56:59" x14ac:dyDescent="0.2">
      <c r="BD216" s="35">
        <v>7.4</v>
      </c>
      <c r="BE216" s="31">
        <v>7.9</v>
      </c>
      <c r="BF216" s="31">
        <v>3.5</v>
      </c>
      <c r="BG216" s="31">
        <v>3.8</v>
      </c>
    </row>
    <row r="217" spans="56:59" x14ac:dyDescent="0.2">
      <c r="BD217" s="37">
        <v>12.1</v>
      </c>
      <c r="BE217" s="31">
        <v>11.7</v>
      </c>
      <c r="BF217" s="31">
        <v>10.5</v>
      </c>
      <c r="BG217" s="31">
        <v>10.6</v>
      </c>
    </row>
    <row r="218" spans="56:59" x14ac:dyDescent="0.2">
      <c r="BD218" s="1">
        <v>6.6</v>
      </c>
      <c r="BE218" s="31">
        <v>6.8</v>
      </c>
      <c r="BF218" s="34">
        <v>5.0999999999999996</v>
      </c>
      <c r="BG218" s="31">
        <v>6.5</v>
      </c>
    </row>
    <row r="219" spans="56:59" x14ac:dyDescent="0.2">
      <c r="BD219" s="1">
        <v>5.4</v>
      </c>
      <c r="BE219" s="31">
        <v>5.3</v>
      </c>
      <c r="BF219" s="31">
        <v>6.3</v>
      </c>
      <c r="BG219" s="31">
        <v>6.7</v>
      </c>
    </row>
    <row r="220" spans="56:59" x14ac:dyDescent="0.2">
      <c r="BD220" s="1">
        <v>4.7</v>
      </c>
      <c r="BE220" s="31">
        <v>4.5999999999999996</v>
      </c>
      <c r="BF220" s="31">
        <v>6.1</v>
      </c>
      <c r="BG220" s="31">
        <v>5.5</v>
      </c>
    </row>
    <row r="221" spans="56:59" x14ac:dyDescent="0.2">
      <c r="BD221" s="1">
        <v>4.5</v>
      </c>
      <c r="BE221" s="31">
        <v>4.4000000000000004</v>
      </c>
      <c r="BF221" s="31">
        <v>4.5999999999999996</v>
      </c>
      <c r="BG221" s="31">
        <v>4.9000000000000004</v>
      </c>
    </row>
    <row r="222" spans="56:59" x14ac:dyDescent="0.2">
      <c r="BD222" s="1">
        <v>4.4000000000000004</v>
      </c>
      <c r="BE222" s="31">
        <v>4.5999999999999996</v>
      </c>
      <c r="BF222" s="31">
        <v>3.7</v>
      </c>
      <c r="BG222" s="31">
        <v>4</v>
      </c>
    </row>
    <row r="223" spans="56:59" x14ac:dyDescent="0.2">
      <c r="BD223" s="1">
        <v>4</v>
      </c>
      <c r="BE223" s="31">
        <v>4.3</v>
      </c>
      <c r="BF223" s="31">
        <v>4.3</v>
      </c>
      <c r="BG223" s="31">
        <v>4.2</v>
      </c>
    </row>
    <row r="224" spans="56:59" x14ac:dyDescent="0.2">
      <c r="BD224" s="1">
        <v>4</v>
      </c>
      <c r="BE224" s="31">
        <v>4.5</v>
      </c>
      <c r="BF224" s="31">
        <v>5.5</v>
      </c>
      <c r="BG224" s="31">
        <v>4.5999999999999996</v>
      </c>
    </row>
    <row r="225" spans="56:59" x14ac:dyDescent="0.2">
      <c r="BD225" s="1">
        <v>4.5</v>
      </c>
      <c r="BE225" s="31">
        <v>5.2</v>
      </c>
      <c r="BF225" s="31">
        <v>4.9000000000000004</v>
      </c>
      <c r="BG225" s="31">
        <v>5</v>
      </c>
    </row>
    <row r="226" spans="56:59" x14ac:dyDescent="0.2">
      <c r="BD226" s="1">
        <v>3.8</v>
      </c>
      <c r="BE226" s="31">
        <v>4.0999999999999996</v>
      </c>
      <c r="BF226" s="31">
        <v>3.8</v>
      </c>
      <c r="BG226" s="31">
        <v>3.7</v>
      </c>
    </row>
    <row r="227" spans="56:59" x14ac:dyDescent="0.2">
      <c r="BD227" s="1">
        <v>4.4000000000000004</v>
      </c>
      <c r="BE227" s="31">
        <v>4.5999999999999996</v>
      </c>
      <c r="BF227" s="31">
        <v>3.2</v>
      </c>
      <c r="BG227" s="31">
        <v>3.3</v>
      </c>
    </row>
    <row r="228" spans="56:59" x14ac:dyDescent="0.2">
      <c r="BD228" s="37">
        <v>6.9</v>
      </c>
      <c r="BE228" s="31">
        <v>6.9</v>
      </c>
      <c r="BF228" s="31">
        <v>4.5999999999999996</v>
      </c>
      <c r="BG228" s="31">
        <v>3.5</v>
      </c>
    </row>
    <row r="229" spans="56:59" x14ac:dyDescent="0.2">
      <c r="BD229" s="37">
        <v>7.4</v>
      </c>
      <c r="BE229" s="31">
        <v>7.4</v>
      </c>
      <c r="BF229" s="31">
        <v>4.4000000000000004</v>
      </c>
      <c r="BG229" s="31">
        <v>4.5999999999999996</v>
      </c>
    </row>
    <row r="230" spans="56:59" x14ac:dyDescent="0.2">
      <c r="BD230" s="35">
        <v>6.5</v>
      </c>
      <c r="BE230" s="31">
        <v>7.1</v>
      </c>
      <c r="BF230" s="31">
        <v>3.8</v>
      </c>
      <c r="BG230" s="31">
        <v>3.5</v>
      </c>
    </row>
    <row r="231" spans="56:59" x14ac:dyDescent="0.2">
      <c r="BD231" s="35">
        <v>7</v>
      </c>
      <c r="BE231" s="31">
        <v>7.7</v>
      </c>
      <c r="BF231" s="31">
        <v>3.6</v>
      </c>
      <c r="BG231" s="31">
        <v>3.8</v>
      </c>
    </row>
    <row r="232" spans="56:59" x14ac:dyDescent="0.2">
      <c r="BD232" s="1">
        <v>3.5</v>
      </c>
      <c r="BE232" s="31">
        <v>3.7</v>
      </c>
      <c r="BF232" s="31">
        <v>5.8</v>
      </c>
      <c r="BG232" s="31">
        <v>6.1</v>
      </c>
    </row>
    <row r="233" spans="56:59" x14ac:dyDescent="0.2">
      <c r="BD233" s="1">
        <v>3.4</v>
      </c>
      <c r="BE233" s="31">
        <v>3.5</v>
      </c>
      <c r="BF233" s="31">
        <v>5.5</v>
      </c>
      <c r="BG233" s="31">
        <v>6</v>
      </c>
    </row>
    <row r="234" spans="56:59" x14ac:dyDescent="0.2">
      <c r="BD234" s="35">
        <v>8</v>
      </c>
      <c r="BE234" s="31">
        <v>8.1999999999999993</v>
      </c>
      <c r="BF234" s="31">
        <v>4.0999999999999996</v>
      </c>
      <c r="BG234" s="31">
        <v>4.2</v>
      </c>
    </row>
    <row r="235" spans="56:59" x14ac:dyDescent="0.2">
      <c r="BD235" s="1">
        <v>6.1</v>
      </c>
      <c r="BE235" s="31">
        <v>5.9</v>
      </c>
      <c r="BF235" s="31">
        <v>7.2</v>
      </c>
      <c r="BG235" s="31">
        <v>7.3</v>
      </c>
    </row>
    <row r="236" spans="56:59" x14ac:dyDescent="0.2">
      <c r="BD236" s="1">
        <v>3.9</v>
      </c>
      <c r="BE236" s="31">
        <v>4</v>
      </c>
      <c r="BF236" s="31">
        <v>4.2</v>
      </c>
      <c r="BG236" s="31">
        <v>4.2</v>
      </c>
    </row>
    <row r="237" spans="56:59" x14ac:dyDescent="0.2">
      <c r="BD237" s="1">
        <v>4.7</v>
      </c>
      <c r="BE237" s="31">
        <v>4.9000000000000004</v>
      </c>
      <c r="BF237" s="31">
        <v>3.3</v>
      </c>
      <c r="BG237" s="31">
        <v>3.6</v>
      </c>
    </row>
    <row r="238" spans="56:59" x14ac:dyDescent="0.2">
      <c r="BD238" s="1">
        <v>6.3</v>
      </c>
      <c r="BE238" s="31">
        <v>6.6</v>
      </c>
      <c r="BF238" s="31">
        <v>5</v>
      </c>
      <c r="BG238" s="31">
        <v>4.9000000000000004</v>
      </c>
    </row>
    <row r="239" spans="56:59" x14ac:dyDescent="0.2">
      <c r="BD239" s="1">
        <v>5.9</v>
      </c>
      <c r="BE239" s="31">
        <v>6.3</v>
      </c>
      <c r="BF239" s="31">
        <v>4.5999999999999996</v>
      </c>
      <c r="BG239" s="31">
        <v>4.5</v>
      </c>
    </row>
    <row r="240" spans="56:59" x14ac:dyDescent="0.2">
      <c r="BD240" s="1">
        <v>3.7</v>
      </c>
      <c r="BE240" s="31">
        <v>3.9</v>
      </c>
      <c r="BF240" s="31">
        <v>4.5999999999999996</v>
      </c>
      <c r="BG240" s="31">
        <v>4.8</v>
      </c>
    </row>
    <row r="241" spans="56:59" x14ac:dyDescent="0.2">
      <c r="BD241" s="35">
        <v>6.8</v>
      </c>
      <c r="BE241" s="31">
        <v>7.4</v>
      </c>
      <c r="BF241" s="31">
        <v>4.7</v>
      </c>
      <c r="BG241" s="31">
        <v>4.4000000000000004</v>
      </c>
    </row>
    <row r="242" spans="56:59" x14ac:dyDescent="0.2">
      <c r="BD242" s="35">
        <v>5.2</v>
      </c>
      <c r="BE242" s="31">
        <v>5.4</v>
      </c>
      <c r="BF242" s="31">
        <v>3.9</v>
      </c>
      <c r="BG242" s="31">
        <v>3.9</v>
      </c>
    </row>
    <row r="243" spans="56:59" x14ac:dyDescent="0.2">
      <c r="BD243" s="1">
        <v>3.3</v>
      </c>
      <c r="BE243" s="31">
        <v>3.6</v>
      </c>
      <c r="BF243" s="31">
        <v>5.2</v>
      </c>
      <c r="BG243" s="31">
        <v>5.3</v>
      </c>
    </row>
    <row r="244" spans="56:59" x14ac:dyDescent="0.2">
      <c r="BD244" s="35">
        <v>6</v>
      </c>
      <c r="BE244" s="31">
        <v>6</v>
      </c>
      <c r="BF244" s="31">
        <v>4.4000000000000004</v>
      </c>
      <c r="BG244" s="31">
        <v>4.4000000000000004</v>
      </c>
    </row>
    <row r="245" spans="56:59" x14ac:dyDescent="0.2">
      <c r="BD245" s="35">
        <v>6.8</v>
      </c>
      <c r="BE245" s="31">
        <v>6.5</v>
      </c>
      <c r="BF245" s="31">
        <v>3.8</v>
      </c>
      <c r="BG245" s="31">
        <v>4</v>
      </c>
    </row>
    <row r="246" spans="56:59" x14ac:dyDescent="0.2">
      <c r="BD246" s="1">
        <v>5</v>
      </c>
      <c r="BE246" s="31">
        <v>4.9000000000000004</v>
      </c>
      <c r="BF246" s="31">
        <v>4.9000000000000004</v>
      </c>
      <c r="BG246" s="31">
        <v>4.9000000000000004</v>
      </c>
    </row>
    <row r="247" spans="56:59" x14ac:dyDescent="0.2">
      <c r="BD247" s="1">
        <v>5.4</v>
      </c>
      <c r="BE247" s="31">
        <v>5.8</v>
      </c>
      <c r="BF247" s="31">
        <v>4.5</v>
      </c>
      <c r="BG247" s="31">
        <v>4.8</v>
      </c>
    </row>
    <row r="248" spans="56:59" x14ac:dyDescent="0.2">
      <c r="BD248" s="1">
        <v>5.7</v>
      </c>
      <c r="BE248" s="31">
        <v>5.6</v>
      </c>
      <c r="BF248" s="31">
        <v>4.0999999999999996</v>
      </c>
      <c r="BG248" s="31">
        <v>5.0999999999999996</v>
      </c>
    </row>
    <row r="249" spans="56:59" x14ac:dyDescent="0.2">
      <c r="BD249" s="1">
        <v>5.2</v>
      </c>
      <c r="BE249" s="31">
        <v>5.0999999999999996</v>
      </c>
      <c r="BF249" s="31">
        <v>6.4</v>
      </c>
      <c r="BG249" s="31">
        <v>5.8</v>
      </c>
    </row>
    <row r="250" spans="56:59" x14ac:dyDescent="0.2">
      <c r="BD250" s="37">
        <v>5.8</v>
      </c>
      <c r="BE250" s="31">
        <v>6.2</v>
      </c>
      <c r="BF250" s="31">
        <v>4.9000000000000004</v>
      </c>
      <c r="BG250" s="31">
        <v>5</v>
      </c>
    </row>
    <row r="251" spans="56:59" x14ac:dyDescent="0.2">
      <c r="BD251" s="1">
        <v>5</v>
      </c>
      <c r="BE251" s="31">
        <v>4.8</v>
      </c>
      <c r="BF251" s="31">
        <v>5.4</v>
      </c>
      <c r="BG251" s="31">
        <v>5.7</v>
      </c>
    </row>
    <row r="252" spans="56:59" x14ac:dyDescent="0.2">
      <c r="BD252" s="1">
        <v>4.2</v>
      </c>
      <c r="BE252" s="31">
        <v>4.2</v>
      </c>
      <c r="BF252" s="31">
        <v>6.7</v>
      </c>
      <c r="BG252" s="31">
        <v>7</v>
      </c>
    </row>
    <row r="253" spans="56:59" x14ac:dyDescent="0.2">
      <c r="BD253" s="37">
        <v>9.1</v>
      </c>
      <c r="BE253" s="31">
        <v>9</v>
      </c>
      <c r="BF253" s="31">
        <v>3.7</v>
      </c>
      <c r="BG253" s="31">
        <v>3.7</v>
      </c>
    </row>
    <row r="254" spans="56:59" x14ac:dyDescent="0.2">
      <c r="BD254" s="1">
        <v>4.7</v>
      </c>
      <c r="BE254" s="31">
        <v>4.7</v>
      </c>
      <c r="BF254" s="31">
        <v>4.2</v>
      </c>
      <c r="BG254" s="31">
        <v>4.3</v>
      </c>
    </row>
    <row r="255" spans="56:59" x14ac:dyDescent="0.2">
      <c r="BD255" s="1">
        <v>3.5</v>
      </c>
      <c r="BE255" s="31">
        <v>3.7</v>
      </c>
      <c r="BF255" s="31">
        <v>4.4000000000000004</v>
      </c>
      <c r="BG255" s="31">
        <v>4.7</v>
      </c>
    </row>
    <row r="256" spans="56:59" x14ac:dyDescent="0.2">
      <c r="BD256" s="1">
        <v>6.8</v>
      </c>
      <c r="BE256" s="31">
        <v>7.1</v>
      </c>
      <c r="BF256" s="31">
        <v>3.4</v>
      </c>
      <c r="BG256" s="31">
        <v>3.6</v>
      </c>
    </row>
    <row r="257" spans="56:59" x14ac:dyDescent="0.2">
      <c r="BD257" s="37">
        <v>6.2</v>
      </c>
      <c r="BE257" s="31">
        <v>7.1</v>
      </c>
      <c r="BF257" s="31">
        <v>4.2</v>
      </c>
      <c r="BG257" s="31">
        <v>4</v>
      </c>
    </row>
    <row r="258" spans="56:59" x14ac:dyDescent="0.2">
      <c r="BD258" s="1">
        <v>3.8</v>
      </c>
      <c r="BE258" s="31">
        <v>3.6</v>
      </c>
      <c r="BF258" s="31">
        <v>9.6999999999999993</v>
      </c>
      <c r="BG258" s="31">
        <v>10.4</v>
      </c>
    </row>
    <row r="259" spans="56:59" x14ac:dyDescent="0.2">
      <c r="BD259" s="1">
        <v>4.5999999999999996</v>
      </c>
      <c r="BE259" s="31">
        <v>5.0999999999999996</v>
      </c>
      <c r="BF259" s="31">
        <v>7.7</v>
      </c>
      <c r="BG259" s="31">
        <v>8.1999999999999993</v>
      </c>
    </row>
    <row r="260" spans="56:59" x14ac:dyDescent="0.2">
      <c r="BD260" s="35">
        <v>5.3</v>
      </c>
      <c r="BE260">
        <v>5.6</v>
      </c>
      <c r="BF260" s="31">
        <v>4.7</v>
      </c>
      <c r="BG260" s="31">
        <v>5.0999999999999996</v>
      </c>
    </row>
    <row r="261" spans="56:59" x14ac:dyDescent="0.2">
      <c r="BD261" s="35">
        <v>6.4</v>
      </c>
      <c r="BE261">
        <v>6.5</v>
      </c>
      <c r="BF261" s="31">
        <v>5.7</v>
      </c>
      <c r="BG261" s="31">
        <v>5.6</v>
      </c>
    </row>
    <row r="262" spans="56:59" x14ac:dyDescent="0.2">
      <c r="BD262" s="37">
        <v>9.4</v>
      </c>
      <c r="BE262" s="31">
        <v>10.3</v>
      </c>
      <c r="BF262" s="31">
        <v>3.3</v>
      </c>
      <c r="BG262" s="31">
        <v>3.9</v>
      </c>
    </row>
    <row r="263" spans="56:59" x14ac:dyDescent="0.2">
      <c r="BD263" s="37">
        <v>6.4</v>
      </c>
      <c r="BE263" s="31">
        <v>7</v>
      </c>
      <c r="BF263" s="31">
        <v>3.8</v>
      </c>
      <c r="BG263" s="31">
        <v>4.8</v>
      </c>
    </row>
    <row r="264" spans="56:59" x14ac:dyDescent="0.2">
      <c r="BD264" s="1">
        <v>5.4</v>
      </c>
      <c r="BE264" s="31">
        <v>5.5</v>
      </c>
      <c r="BF264" s="31">
        <v>7.3</v>
      </c>
      <c r="BG264" s="31">
        <v>6.8</v>
      </c>
    </row>
    <row r="265" spans="56:59" x14ac:dyDescent="0.2">
      <c r="BD265" s="35">
        <v>5.8</v>
      </c>
      <c r="BE265" s="31">
        <v>5.9</v>
      </c>
      <c r="BF265" s="31">
        <v>5.3</v>
      </c>
      <c r="BG265" s="31">
        <v>5.0999999999999996</v>
      </c>
    </row>
    <row r="266" spans="56:59" x14ac:dyDescent="0.2">
      <c r="BD266" s="35">
        <v>5.5</v>
      </c>
      <c r="BE266" s="31">
        <v>5.5</v>
      </c>
      <c r="BF266" s="31">
        <v>7.9</v>
      </c>
      <c r="BG266" s="31">
        <v>8.4</v>
      </c>
    </row>
    <row r="267" spans="56:59" x14ac:dyDescent="0.2">
      <c r="BD267" s="38">
        <v>5.4</v>
      </c>
      <c r="BE267" s="32">
        <v>5.5</v>
      </c>
      <c r="BF267" s="31">
        <v>7.4</v>
      </c>
      <c r="BG267" s="31">
        <v>7.4</v>
      </c>
    </row>
    <row r="268" spans="56:59" x14ac:dyDescent="0.2">
      <c r="BD268" s="1">
        <v>4.2</v>
      </c>
      <c r="BE268" s="31">
        <v>4</v>
      </c>
      <c r="BF268" s="31">
        <v>4.4000000000000004</v>
      </c>
      <c r="BG268" s="31">
        <v>4</v>
      </c>
    </row>
    <row r="269" spans="56:59" x14ac:dyDescent="0.2">
      <c r="BD269" s="1">
        <v>5.7</v>
      </c>
      <c r="BE269" s="31">
        <v>5.8</v>
      </c>
      <c r="BF269" s="31">
        <v>4.4000000000000004</v>
      </c>
      <c r="BG269" s="31">
        <v>4.5</v>
      </c>
    </row>
    <row r="270" spans="56:59" x14ac:dyDescent="0.2">
      <c r="BD270" s="37">
        <v>8.1</v>
      </c>
      <c r="BE270" s="31">
        <v>8.4</v>
      </c>
      <c r="BF270" s="31">
        <v>4.7</v>
      </c>
      <c r="BG270" s="31">
        <v>5</v>
      </c>
    </row>
    <row r="271" spans="56:59" x14ac:dyDescent="0.2">
      <c r="BD271" s="37">
        <v>13.3</v>
      </c>
      <c r="BE271" s="31">
        <v>13</v>
      </c>
      <c r="BF271" s="31">
        <v>5.0999999999999996</v>
      </c>
      <c r="BG271" s="31">
        <v>5.7</v>
      </c>
    </row>
    <row r="272" spans="56:59" x14ac:dyDescent="0.2">
      <c r="BD272" s="1">
        <v>3.6</v>
      </c>
      <c r="BE272" s="31">
        <v>3.5</v>
      </c>
      <c r="BF272" s="31">
        <v>5.0999999999999996</v>
      </c>
      <c r="BG272" s="31">
        <v>5.5</v>
      </c>
    </row>
    <row r="273" spans="56:59" x14ac:dyDescent="0.2">
      <c r="BD273" s="1">
        <v>14.3</v>
      </c>
      <c r="BE273" s="31">
        <v>16.3</v>
      </c>
      <c r="BF273" s="32">
        <v>3.9</v>
      </c>
      <c r="BG273" s="32">
        <v>4.5</v>
      </c>
    </row>
    <row r="274" spans="56:59" x14ac:dyDescent="0.2">
      <c r="BD274" s="37">
        <v>6.4</v>
      </c>
      <c r="BE274" s="31">
        <v>6.6</v>
      </c>
      <c r="BF274" s="31">
        <v>4.5999999999999996</v>
      </c>
      <c r="BG274" s="31">
        <v>4.5999999999999996</v>
      </c>
    </row>
    <row r="275" spans="56:59" x14ac:dyDescent="0.2">
      <c r="BD275" s="37">
        <v>10.8</v>
      </c>
      <c r="BE275" s="31">
        <v>10.6</v>
      </c>
      <c r="BF275" s="31">
        <v>5.9</v>
      </c>
      <c r="BG275" s="31">
        <v>5.3</v>
      </c>
    </row>
    <row r="276" spans="56:59" x14ac:dyDescent="0.2">
      <c r="BD276" s="1">
        <v>6.1</v>
      </c>
      <c r="BE276" s="31">
        <v>5.6</v>
      </c>
      <c r="BF276" s="31">
        <v>8.5</v>
      </c>
      <c r="BG276" s="31">
        <v>10.3</v>
      </c>
    </row>
    <row r="277" spans="56:59" x14ac:dyDescent="0.2">
      <c r="BD277" s="1">
        <v>6.4</v>
      </c>
      <c r="BE277" s="31">
        <v>6.2</v>
      </c>
      <c r="BF277" s="31">
        <v>13.1</v>
      </c>
      <c r="BG277" s="31">
        <v>12.7</v>
      </c>
    </row>
    <row r="278" spans="56:59" x14ac:dyDescent="0.2">
      <c r="BD278" s="1">
        <v>3.4</v>
      </c>
      <c r="BE278" s="31">
        <v>3.4</v>
      </c>
      <c r="BF278" s="31">
        <v>4</v>
      </c>
      <c r="BG278" s="31">
        <v>3.9</v>
      </c>
    </row>
    <row r="279" spans="56:59" x14ac:dyDescent="0.2">
      <c r="BD279" s="35">
        <v>5.2</v>
      </c>
      <c r="BE279" s="31">
        <v>5.0999999999999996</v>
      </c>
      <c r="BF279" s="31">
        <v>16.100000000000001</v>
      </c>
      <c r="BG279" s="31">
        <v>15.6</v>
      </c>
    </row>
    <row r="280" spans="56:59" x14ac:dyDescent="0.2">
      <c r="BD280" s="1">
        <v>4.0999999999999996</v>
      </c>
      <c r="BE280" s="31">
        <v>3.9</v>
      </c>
      <c r="BF280" s="31">
        <v>7.2</v>
      </c>
      <c r="BG280" s="31">
        <v>7.9</v>
      </c>
    </row>
    <row r="281" spans="56:59" x14ac:dyDescent="0.2">
      <c r="BD281" s="1">
        <v>4</v>
      </c>
      <c r="BE281" s="31">
        <v>3.8</v>
      </c>
      <c r="BF281" s="31">
        <v>12</v>
      </c>
      <c r="BG281" s="31">
        <v>11.7</v>
      </c>
    </row>
    <row r="282" spans="56:59" x14ac:dyDescent="0.2">
      <c r="BD282" s="1">
        <v>4</v>
      </c>
      <c r="BE282" s="31">
        <v>3.8</v>
      </c>
      <c r="BF282" s="31">
        <v>6.2</v>
      </c>
      <c r="BG282" s="31">
        <v>6.8</v>
      </c>
    </row>
    <row r="283" spans="56:59" x14ac:dyDescent="0.2">
      <c r="BD283" s="1">
        <v>3.7</v>
      </c>
      <c r="BE283" s="31">
        <v>3.7</v>
      </c>
      <c r="BF283" s="31">
        <v>6.1</v>
      </c>
      <c r="BG283" s="31">
        <v>5.3</v>
      </c>
    </row>
    <row r="284" spans="56:59" x14ac:dyDescent="0.2">
      <c r="BD284" s="1">
        <v>3.4</v>
      </c>
      <c r="BE284" s="31">
        <v>3.4</v>
      </c>
      <c r="BF284" s="31">
        <v>4.4000000000000004</v>
      </c>
      <c r="BG284" s="31">
        <v>4.5999999999999996</v>
      </c>
    </row>
    <row r="285" spans="56:59" x14ac:dyDescent="0.2">
      <c r="BD285" s="35">
        <v>4.8</v>
      </c>
      <c r="BE285" s="31">
        <v>4.8</v>
      </c>
      <c r="BF285" s="31">
        <v>4.3</v>
      </c>
      <c r="BG285" s="31">
        <v>4.4000000000000004</v>
      </c>
    </row>
    <row r="286" spans="56:59" x14ac:dyDescent="0.2">
      <c r="BD286" s="37">
        <v>7.2</v>
      </c>
      <c r="BE286" s="31">
        <v>7.6</v>
      </c>
      <c r="BF286" s="31">
        <v>4.0999999999999996</v>
      </c>
      <c r="BG286" s="31">
        <v>4.5999999999999996</v>
      </c>
    </row>
    <row r="287" spans="56:59" x14ac:dyDescent="0.2">
      <c r="BD287" s="37">
        <v>7.5</v>
      </c>
      <c r="BE287" s="31">
        <v>7.4</v>
      </c>
      <c r="BF287" s="31">
        <v>3.9</v>
      </c>
      <c r="BG287" s="31">
        <v>4.3</v>
      </c>
    </row>
    <row r="288" spans="56:59" x14ac:dyDescent="0.2">
      <c r="BD288" s="35">
        <v>5.8</v>
      </c>
      <c r="BE288" s="31">
        <v>6.6</v>
      </c>
      <c r="BF288" s="31">
        <v>4.3</v>
      </c>
      <c r="BG288" s="31">
        <v>4.5</v>
      </c>
    </row>
    <row r="289" spans="56:59" x14ac:dyDescent="0.2">
      <c r="BD289" s="37">
        <v>9.4</v>
      </c>
      <c r="BE289" s="31">
        <v>9.9</v>
      </c>
      <c r="BF289" s="31">
        <v>4.4000000000000004</v>
      </c>
      <c r="BG289" s="31">
        <v>5.2</v>
      </c>
    </row>
    <row r="290" spans="56:59" x14ac:dyDescent="0.2">
      <c r="BD290" s="1">
        <v>3.7</v>
      </c>
      <c r="BE290" s="31">
        <v>4</v>
      </c>
      <c r="BF290" s="31">
        <v>3.7</v>
      </c>
      <c r="BG290" s="31">
        <v>4.0999999999999996</v>
      </c>
    </row>
    <row r="291" spans="56:59" x14ac:dyDescent="0.2">
      <c r="BD291" s="1">
        <v>3.1</v>
      </c>
      <c r="BE291" s="31">
        <v>3.5</v>
      </c>
      <c r="BF291" s="31">
        <v>4.3</v>
      </c>
      <c r="BG291" s="31">
        <v>4.5999999999999996</v>
      </c>
    </row>
    <row r="292" spans="56:59" x14ac:dyDescent="0.2">
      <c r="BD292" s="37">
        <v>5.8</v>
      </c>
      <c r="BE292" s="31">
        <v>5.9</v>
      </c>
      <c r="BF292" s="31">
        <v>7.1</v>
      </c>
      <c r="BG292" s="31">
        <v>6.9</v>
      </c>
    </row>
    <row r="293" spans="56:59" x14ac:dyDescent="0.2">
      <c r="BD293" s="37">
        <v>6.1</v>
      </c>
      <c r="BE293" s="31">
        <v>6.1</v>
      </c>
      <c r="BF293" s="31">
        <v>8.1</v>
      </c>
      <c r="BG293" s="31">
        <v>7.4</v>
      </c>
    </row>
    <row r="294" spans="56:59" x14ac:dyDescent="0.2">
      <c r="BD294" s="1">
        <v>3.5</v>
      </c>
      <c r="BE294" s="31">
        <v>3.5</v>
      </c>
      <c r="BF294" s="31">
        <v>6.4</v>
      </c>
      <c r="BG294" s="31">
        <v>7.1</v>
      </c>
    </row>
    <row r="295" spans="56:59" x14ac:dyDescent="0.2">
      <c r="BD295" s="1">
        <v>4.5</v>
      </c>
      <c r="BE295" s="31">
        <v>4.4000000000000004</v>
      </c>
      <c r="BF295" s="31">
        <v>7.4</v>
      </c>
      <c r="BG295" s="31">
        <v>7.7</v>
      </c>
    </row>
    <row r="296" spans="56:59" x14ac:dyDescent="0.2">
      <c r="BD296" s="1">
        <v>6.2</v>
      </c>
      <c r="BE296" s="31">
        <v>6</v>
      </c>
      <c r="BF296" s="31">
        <v>3.5</v>
      </c>
      <c r="BG296" s="31">
        <v>3.7</v>
      </c>
    </row>
    <row r="297" spans="56:59" x14ac:dyDescent="0.2">
      <c r="BD297" s="1">
        <v>6</v>
      </c>
      <c r="BE297" s="31">
        <v>6.9</v>
      </c>
      <c r="BF297" s="31">
        <v>3.8</v>
      </c>
      <c r="BG297" s="31">
        <v>3.5</v>
      </c>
    </row>
    <row r="298" spans="56:59" x14ac:dyDescent="0.2">
      <c r="BD298" s="35">
        <v>3.9</v>
      </c>
      <c r="BE298" s="31">
        <v>4</v>
      </c>
      <c r="BF298" s="31">
        <v>6.8</v>
      </c>
      <c r="BG298" s="31">
        <v>8.1999999999999993</v>
      </c>
    </row>
    <row r="299" spans="56:59" x14ac:dyDescent="0.2">
      <c r="BD299" s="35">
        <v>6.8</v>
      </c>
      <c r="BE299" s="31">
        <v>6.8</v>
      </c>
      <c r="BF299" s="31">
        <v>5.5</v>
      </c>
      <c r="BG299" s="31">
        <v>5.9</v>
      </c>
    </row>
    <row r="300" spans="56:59" x14ac:dyDescent="0.2">
      <c r="BD300" s="35">
        <v>4.3</v>
      </c>
      <c r="BE300" s="31">
        <v>4.4000000000000004</v>
      </c>
      <c r="BF300" s="31">
        <v>3.7</v>
      </c>
      <c r="BG300" s="31">
        <v>4</v>
      </c>
    </row>
    <row r="301" spans="56:59" x14ac:dyDescent="0.2">
      <c r="BD301" s="1">
        <v>3.1</v>
      </c>
      <c r="BE301" s="31">
        <v>3</v>
      </c>
      <c r="BF301" s="31">
        <v>4.7</v>
      </c>
      <c r="BG301" s="31">
        <v>4.9000000000000004</v>
      </c>
    </row>
    <row r="302" spans="56:59" x14ac:dyDescent="0.2">
      <c r="BD302" s="35">
        <v>7.2</v>
      </c>
      <c r="BE302" s="31">
        <v>7.3</v>
      </c>
      <c r="BF302" s="31">
        <v>6.6</v>
      </c>
      <c r="BG302" s="31">
        <v>6</v>
      </c>
    </row>
    <row r="303" spans="56:59" x14ac:dyDescent="0.2">
      <c r="BD303" s="1">
        <v>5.7</v>
      </c>
      <c r="BE303" s="31">
        <v>5.3</v>
      </c>
      <c r="BF303" s="31">
        <v>6.3</v>
      </c>
      <c r="BG303" s="31">
        <v>6.9</v>
      </c>
    </row>
    <row r="304" spans="56:59" x14ac:dyDescent="0.2">
      <c r="BD304" s="1">
        <v>4.9000000000000004</v>
      </c>
      <c r="BE304" s="31">
        <v>5.0999999999999996</v>
      </c>
      <c r="BF304" s="31">
        <v>3.9</v>
      </c>
      <c r="BG304" s="31">
        <v>4</v>
      </c>
    </row>
    <row r="305" spans="56:59" x14ac:dyDescent="0.2">
      <c r="BD305" s="1">
        <v>5.0999999999999996</v>
      </c>
      <c r="BE305" s="31">
        <v>5.3</v>
      </c>
      <c r="BF305" s="31">
        <v>7.4</v>
      </c>
      <c r="BG305" s="31">
        <v>6.8</v>
      </c>
    </row>
    <row r="306" spans="56:59" x14ac:dyDescent="0.2">
      <c r="BD306" s="1">
        <v>5.7</v>
      </c>
      <c r="BE306" s="31">
        <v>5.3</v>
      </c>
      <c r="BF306" s="31">
        <v>5.4</v>
      </c>
      <c r="BG306" s="31">
        <v>4.4000000000000004</v>
      </c>
    </row>
    <row r="307" spans="56:59" x14ac:dyDescent="0.2">
      <c r="BD307" s="1">
        <v>5</v>
      </c>
      <c r="BE307" s="31">
        <v>5.0999999999999996</v>
      </c>
      <c r="BF307" s="31">
        <v>3.6</v>
      </c>
      <c r="BG307" s="31">
        <v>3</v>
      </c>
    </row>
    <row r="308" spans="56:59" x14ac:dyDescent="0.2">
      <c r="BD308" s="37">
        <v>6.1</v>
      </c>
      <c r="BE308" s="31">
        <v>6.5</v>
      </c>
      <c r="BF308" s="31">
        <v>6</v>
      </c>
      <c r="BG308" s="31">
        <v>7.3</v>
      </c>
    </row>
    <row r="309" spans="56:59" x14ac:dyDescent="0.2">
      <c r="BD309" s="1">
        <v>4.4000000000000004</v>
      </c>
      <c r="BE309" s="31">
        <v>4.5</v>
      </c>
      <c r="BF309" s="31">
        <v>6.5</v>
      </c>
      <c r="BG309" s="31">
        <v>5.3</v>
      </c>
    </row>
    <row r="310" spans="56:59" x14ac:dyDescent="0.2">
      <c r="BD310" s="1">
        <v>4.0999999999999996</v>
      </c>
      <c r="BE310" s="31">
        <v>4.4000000000000004</v>
      </c>
      <c r="BF310" s="31">
        <v>4.9000000000000004</v>
      </c>
      <c r="BG310" s="31">
        <v>5.0999999999999996</v>
      </c>
    </row>
    <row r="311" spans="56:59" x14ac:dyDescent="0.2">
      <c r="BD311" s="37">
        <v>8.5</v>
      </c>
      <c r="BE311" s="31">
        <v>9.1</v>
      </c>
      <c r="BF311" s="31">
        <v>5.8</v>
      </c>
      <c r="BG311" s="31">
        <v>5.3</v>
      </c>
    </row>
    <row r="312" spans="56:59" x14ac:dyDescent="0.2">
      <c r="BD312" s="1">
        <v>4.3</v>
      </c>
      <c r="BE312" s="31">
        <v>4.8</v>
      </c>
      <c r="BF312" s="31">
        <v>5.6</v>
      </c>
      <c r="BG312" s="31">
        <v>5.3</v>
      </c>
    </row>
    <row r="313" spans="56:59" x14ac:dyDescent="0.2">
      <c r="BD313" s="1">
        <v>3.7</v>
      </c>
      <c r="BE313" s="31">
        <v>3.7</v>
      </c>
      <c r="BF313" s="31">
        <v>5.0999999999999996</v>
      </c>
      <c r="BG313" s="31">
        <v>5.0999999999999996</v>
      </c>
    </row>
    <row r="314" spans="56:59" x14ac:dyDescent="0.2">
      <c r="BD314" s="1">
        <v>6.3</v>
      </c>
      <c r="BE314" s="31">
        <v>6.3</v>
      </c>
      <c r="BF314" s="31">
        <v>6.2</v>
      </c>
      <c r="BG314" s="31">
        <v>6.5</v>
      </c>
    </row>
    <row r="315" spans="56:59" x14ac:dyDescent="0.2">
      <c r="BD315" s="37">
        <v>7</v>
      </c>
      <c r="BE315" s="31">
        <v>8</v>
      </c>
      <c r="BF315" s="31">
        <v>4.8</v>
      </c>
      <c r="BG315" s="31">
        <v>4.5</v>
      </c>
    </row>
    <row r="316" spans="56:59" x14ac:dyDescent="0.2">
      <c r="BD316" s="1">
        <v>3.5</v>
      </c>
      <c r="BE316" s="31">
        <v>3.4</v>
      </c>
      <c r="BF316" s="31">
        <v>4.2</v>
      </c>
      <c r="BG316" s="31">
        <v>4.4000000000000004</v>
      </c>
    </row>
    <row r="317" spans="56:59" x14ac:dyDescent="0.2">
      <c r="BD317" s="1">
        <v>4.5</v>
      </c>
      <c r="BE317" s="31">
        <v>4.7</v>
      </c>
      <c r="BF317" s="31">
        <v>9</v>
      </c>
      <c r="BG317" s="31">
        <v>9.1</v>
      </c>
    </row>
    <row r="318" spans="56:59" x14ac:dyDescent="0.2">
      <c r="BD318" s="35">
        <v>5.6</v>
      </c>
      <c r="BE318">
        <v>5.6</v>
      </c>
      <c r="BF318" s="31">
        <v>4.7</v>
      </c>
      <c r="BG318" s="31">
        <v>4.8</v>
      </c>
    </row>
    <row r="319" spans="56:59" x14ac:dyDescent="0.2">
      <c r="BD319" s="35">
        <v>6.1</v>
      </c>
      <c r="BE319">
        <v>6.2</v>
      </c>
      <c r="BF319" s="31">
        <v>3.7</v>
      </c>
      <c r="BG319" s="31">
        <v>3.7</v>
      </c>
    </row>
    <row r="320" spans="56:59" x14ac:dyDescent="0.2">
      <c r="BD320" s="37">
        <v>9.1</v>
      </c>
      <c r="BE320" s="31">
        <v>9.4</v>
      </c>
      <c r="BF320" s="31">
        <v>10.7</v>
      </c>
      <c r="BG320" s="31">
        <v>9.6</v>
      </c>
    </row>
    <row r="321" spans="56:59" x14ac:dyDescent="0.2">
      <c r="BD321" s="37">
        <v>6.2</v>
      </c>
      <c r="BE321" s="31">
        <v>6.4</v>
      </c>
      <c r="BF321" s="31">
        <v>9.5</v>
      </c>
      <c r="BG321" s="31">
        <v>8.9</v>
      </c>
    </row>
    <row r="322" spans="56:59" x14ac:dyDescent="0.2">
      <c r="BD322" s="1">
        <v>5.8</v>
      </c>
      <c r="BE322" s="31">
        <v>6.2</v>
      </c>
      <c r="BF322" s="31">
        <v>7.1</v>
      </c>
      <c r="BG322" s="31">
        <v>6.3</v>
      </c>
    </row>
    <row r="323" spans="56:59" x14ac:dyDescent="0.2">
      <c r="BD323" s="35">
        <v>5.5</v>
      </c>
      <c r="BE323" s="31">
        <v>5.3</v>
      </c>
      <c r="BF323" s="31">
        <v>7.1</v>
      </c>
      <c r="BG323" s="31">
        <v>8</v>
      </c>
    </row>
    <row r="324" spans="56:59" x14ac:dyDescent="0.2">
      <c r="BD324" s="35">
        <v>5.2</v>
      </c>
      <c r="BE324" s="31">
        <v>5.5</v>
      </c>
      <c r="BF324" s="31">
        <v>3.6</v>
      </c>
      <c r="BG324" s="31">
        <v>3.4</v>
      </c>
    </row>
    <row r="325" spans="56:59" x14ac:dyDescent="0.2">
      <c r="BD325" s="38">
        <v>5.4</v>
      </c>
      <c r="BE325" s="32">
        <v>5.5</v>
      </c>
      <c r="BF325" s="31">
        <v>5.0999999999999996</v>
      </c>
      <c r="BG325" s="31">
        <v>4.7</v>
      </c>
    </row>
    <row r="326" spans="56:59" x14ac:dyDescent="0.2">
      <c r="BD326" s="1">
        <v>4.5</v>
      </c>
      <c r="BE326" s="31">
        <v>4.2</v>
      </c>
      <c r="BF326">
        <v>5.6</v>
      </c>
      <c r="BG326">
        <v>5.6</v>
      </c>
    </row>
    <row r="327" spans="56:59" x14ac:dyDescent="0.2">
      <c r="BD327" s="1">
        <v>5.0999999999999996</v>
      </c>
      <c r="BE327" s="31">
        <v>5.0999999999999996</v>
      </c>
      <c r="BF327">
        <v>6.5</v>
      </c>
      <c r="BG327">
        <v>6.2</v>
      </c>
    </row>
    <row r="328" spans="56:59" x14ac:dyDescent="0.2">
      <c r="BD328" s="37">
        <v>8.1999999999999993</v>
      </c>
      <c r="BE328" s="31">
        <v>8.4</v>
      </c>
      <c r="BF328" s="31">
        <v>10.3</v>
      </c>
      <c r="BG328" s="31">
        <v>9.4</v>
      </c>
    </row>
    <row r="329" spans="56:59" x14ac:dyDescent="0.2">
      <c r="BD329" s="37">
        <v>12.8</v>
      </c>
      <c r="BE329" s="31">
        <v>13.3</v>
      </c>
      <c r="BF329" s="31">
        <v>7</v>
      </c>
      <c r="BG329" s="31">
        <v>6.4</v>
      </c>
    </row>
    <row r="330" spans="56:59" x14ac:dyDescent="0.2">
      <c r="BD330" s="1">
        <v>3.9</v>
      </c>
      <c r="BE330" s="31">
        <v>3.5</v>
      </c>
      <c r="BF330" s="31">
        <v>5.5</v>
      </c>
      <c r="BG330" s="31">
        <v>6.2</v>
      </c>
    </row>
    <row r="331" spans="56:59" x14ac:dyDescent="0.2">
      <c r="BD331" s="1">
        <v>15.4</v>
      </c>
      <c r="BE331" s="31">
        <v>16.600000000000001</v>
      </c>
      <c r="BF331" s="31">
        <v>5.9</v>
      </c>
      <c r="BG331" s="31">
        <v>5.3</v>
      </c>
    </row>
    <row r="332" spans="56:59" x14ac:dyDescent="0.2">
      <c r="BD332" s="37">
        <v>6.2</v>
      </c>
      <c r="BE332" s="31">
        <v>6.3</v>
      </c>
      <c r="BF332" s="31">
        <v>5.5</v>
      </c>
      <c r="BG332" s="31">
        <v>5.5</v>
      </c>
    </row>
    <row r="333" spans="56:59" x14ac:dyDescent="0.2">
      <c r="BD333" s="37">
        <v>10.6</v>
      </c>
      <c r="BE333" s="31">
        <v>10.7</v>
      </c>
      <c r="BF333" s="32">
        <v>5.5</v>
      </c>
      <c r="BG333" s="32">
        <v>5.5</v>
      </c>
    </row>
    <row r="334" spans="56:59" x14ac:dyDescent="0.2">
      <c r="BD334" s="1">
        <v>5.8</v>
      </c>
      <c r="BE334" s="31">
        <v>5.7</v>
      </c>
      <c r="BF334" s="31">
        <v>4</v>
      </c>
      <c r="BG334" s="31">
        <v>4.2</v>
      </c>
    </row>
    <row r="335" spans="56:59" x14ac:dyDescent="0.2">
      <c r="BD335" s="1">
        <v>6.2</v>
      </c>
      <c r="BE335" s="31">
        <v>6.3</v>
      </c>
      <c r="BF335" s="31">
        <v>5.8</v>
      </c>
      <c r="BG335" s="31">
        <v>5.0999999999999996</v>
      </c>
    </row>
    <row r="336" spans="56:59" x14ac:dyDescent="0.2">
      <c r="BD336" s="1">
        <v>4.0999999999999996</v>
      </c>
      <c r="BE336" s="31">
        <v>4.0999999999999996</v>
      </c>
      <c r="BF336" s="31">
        <v>8.4</v>
      </c>
      <c r="BG336" s="31">
        <v>8.4</v>
      </c>
    </row>
    <row r="337" spans="56:59" x14ac:dyDescent="0.2">
      <c r="BD337" s="35">
        <v>5.6</v>
      </c>
      <c r="BE337" s="31">
        <v>5.9</v>
      </c>
      <c r="BF337" s="31">
        <v>13</v>
      </c>
      <c r="BG337" s="31">
        <v>13.3</v>
      </c>
    </row>
    <row r="338" spans="56:59" x14ac:dyDescent="0.2">
      <c r="BD338" s="1">
        <v>4.4000000000000004</v>
      </c>
      <c r="BE338" s="31">
        <v>4.5999999999999996</v>
      </c>
      <c r="BF338" s="31">
        <v>3.5</v>
      </c>
      <c r="BG338" s="31">
        <v>3.5</v>
      </c>
    </row>
    <row r="339" spans="56:59" x14ac:dyDescent="0.2">
      <c r="BD339" s="1">
        <v>4</v>
      </c>
      <c r="BE339" s="31">
        <v>3.9</v>
      </c>
      <c r="BF339" s="31">
        <v>16.3</v>
      </c>
      <c r="BG339" s="31">
        <v>16.600000000000001</v>
      </c>
    </row>
    <row r="340" spans="56:59" x14ac:dyDescent="0.2">
      <c r="BD340" s="1">
        <v>4.7</v>
      </c>
      <c r="BE340" s="31">
        <v>4.5999999999999996</v>
      </c>
      <c r="BF340" s="31">
        <v>6.6</v>
      </c>
      <c r="BG340" s="31">
        <v>6.3</v>
      </c>
    </row>
    <row r="341" spans="56:59" x14ac:dyDescent="0.2">
      <c r="BD341" s="1">
        <v>4</v>
      </c>
      <c r="BE341" s="31">
        <v>3.5</v>
      </c>
      <c r="BF341" s="31">
        <v>10.6</v>
      </c>
      <c r="BG341" s="31">
        <v>10.7</v>
      </c>
    </row>
    <row r="342" spans="56:59" x14ac:dyDescent="0.2">
      <c r="BD342" s="1">
        <v>3.5</v>
      </c>
      <c r="BE342" s="31">
        <v>3.4</v>
      </c>
      <c r="BF342" s="31">
        <v>5.6</v>
      </c>
      <c r="BG342" s="31">
        <v>5.7</v>
      </c>
    </row>
    <row r="343" spans="56:59" x14ac:dyDescent="0.2">
      <c r="BD343" s="35">
        <v>4.4000000000000004</v>
      </c>
      <c r="BE343" s="31">
        <v>4.5999999999999996</v>
      </c>
      <c r="BF343" s="31">
        <v>6.2</v>
      </c>
      <c r="BG343" s="31">
        <v>6.3</v>
      </c>
    </row>
    <row r="344" spans="56:59" x14ac:dyDescent="0.2">
      <c r="BD344" s="37">
        <v>6.9</v>
      </c>
      <c r="BE344" s="31">
        <v>7</v>
      </c>
      <c r="BF344" s="31">
        <v>3.4</v>
      </c>
      <c r="BG344" s="31">
        <v>4.0999999999999996</v>
      </c>
    </row>
    <row r="345" spans="56:59" x14ac:dyDescent="0.2">
      <c r="BD345" s="37">
        <v>7.9</v>
      </c>
      <c r="BE345" s="31">
        <v>7.4</v>
      </c>
      <c r="BF345" s="31">
        <v>5.0999999999999996</v>
      </c>
      <c r="BG345" s="31">
        <v>5.9</v>
      </c>
    </row>
    <row r="346" spans="56:59" x14ac:dyDescent="0.2">
      <c r="BD346" s="35">
        <v>6.3</v>
      </c>
      <c r="BE346" s="31">
        <v>6.4</v>
      </c>
      <c r="BF346" s="31">
        <v>3.9</v>
      </c>
      <c r="BG346" s="31">
        <v>4.5999999999999996</v>
      </c>
    </row>
    <row r="347" spans="56:59" x14ac:dyDescent="0.2">
      <c r="BD347" s="37">
        <v>9.4</v>
      </c>
      <c r="BE347" s="31">
        <v>9.6999999999999993</v>
      </c>
      <c r="BF347" s="31">
        <v>3.8</v>
      </c>
      <c r="BG347" s="31">
        <v>3.9</v>
      </c>
    </row>
    <row r="348" spans="56:59" x14ac:dyDescent="0.2">
      <c r="BD348" s="1">
        <v>4.0999999999999996</v>
      </c>
      <c r="BE348" s="31">
        <v>4.5999999999999996</v>
      </c>
      <c r="BF348" s="31">
        <v>3.8</v>
      </c>
      <c r="BG348" s="31">
        <v>4.5999999999999996</v>
      </c>
    </row>
    <row r="349" spans="56:59" x14ac:dyDescent="0.2">
      <c r="BD349" s="1">
        <v>3.2</v>
      </c>
      <c r="BE349" s="31">
        <v>3.1</v>
      </c>
      <c r="BF349" s="31">
        <v>3.7</v>
      </c>
      <c r="BG349" s="31">
        <v>3.5</v>
      </c>
    </row>
    <row r="350" spans="56:59" x14ac:dyDescent="0.2">
      <c r="BD350" s="37">
        <v>6.7</v>
      </c>
      <c r="BE350" s="31">
        <v>6.8</v>
      </c>
      <c r="BF350" s="31">
        <v>3.4</v>
      </c>
      <c r="BG350" s="31">
        <v>3.4</v>
      </c>
    </row>
    <row r="351" spans="56:59" x14ac:dyDescent="0.2">
      <c r="BD351" s="37">
        <v>6.3</v>
      </c>
      <c r="BE351" s="31">
        <v>6.3</v>
      </c>
      <c r="BF351" s="31">
        <v>4.8</v>
      </c>
      <c r="BG351" s="31">
        <v>4.5999999999999996</v>
      </c>
    </row>
    <row r="352" spans="56:59" x14ac:dyDescent="0.2">
      <c r="BD352" s="1">
        <v>3.5</v>
      </c>
      <c r="BE352" s="31">
        <v>3.6</v>
      </c>
      <c r="BF352" s="31">
        <v>7.6</v>
      </c>
      <c r="BG352" s="31">
        <v>7</v>
      </c>
    </row>
    <row r="353" spans="56:59" x14ac:dyDescent="0.2">
      <c r="BD353" s="1">
        <v>3.8</v>
      </c>
      <c r="BE353" s="31">
        <v>4</v>
      </c>
      <c r="BF353" s="31">
        <v>7.4</v>
      </c>
      <c r="BG353" s="31">
        <v>7.4</v>
      </c>
    </row>
    <row r="354" spans="56:59" x14ac:dyDescent="0.2">
      <c r="BF354" s="31">
        <v>6.6</v>
      </c>
      <c r="BG354" s="31">
        <v>6.4</v>
      </c>
    </row>
    <row r="355" spans="56:59" x14ac:dyDescent="0.2">
      <c r="BF355" s="31">
        <v>9.9</v>
      </c>
      <c r="BG355" s="31">
        <v>9.6999999999999993</v>
      </c>
    </row>
    <row r="356" spans="56:59" x14ac:dyDescent="0.2">
      <c r="BF356" s="31">
        <v>4</v>
      </c>
      <c r="BG356" s="31">
        <v>4.5999999999999996</v>
      </c>
    </row>
    <row r="357" spans="56:59" x14ac:dyDescent="0.2">
      <c r="BF357" s="31">
        <v>3.5</v>
      </c>
      <c r="BG357" s="31">
        <v>3.1</v>
      </c>
    </row>
    <row r="358" spans="56:59" x14ac:dyDescent="0.2">
      <c r="BF358" s="31">
        <v>5.9</v>
      </c>
      <c r="BG358" s="31">
        <v>6.8</v>
      </c>
    </row>
    <row r="359" spans="56:59" x14ac:dyDescent="0.2">
      <c r="BF359" s="31">
        <v>6.1</v>
      </c>
      <c r="BG359" s="31">
        <v>6.3</v>
      </c>
    </row>
    <row r="360" spans="56:59" x14ac:dyDescent="0.2">
      <c r="BF360" s="31">
        <v>3.5</v>
      </c>
      <c r="BG360" s="31">
        <v>3.6</v>
      </c>
    </row>
    <row r="361" spans="56:59" x14ac:dyDescent="0.2">
      <c r="BF361" s="31">
        <v>4.4000000000000004</v>
      </c>
      <c r="BG361" s="31">
        <v>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554C-FF48-2F42-8EE2-74DFCEB8FA51}">
  <dimension ref="A1:AC67"/>
  <sheetViews>
    <sheetView tabSelected="1" topLeftCell="I40" workbookViewId="0">
      <selection activeCell="Z66" sqref="Z66:AC67"/>
    </sheetView>
  </sheetViews>
  <sheetFormatPr baseColWidth="10" defaultRowHeight="16" x14ac:dyDescent="0.2"/>
  <sheetData>
    <row r="1" spans="1:29" x14ac:dyDescent="0.2">
      <c r="A1" t="s">
        <v>100</v>
      </c>
      <c r="B1" t="s">
        <v>98</v>
      </c>
      <c r="C1" t="s">
        <v>97</v>
      </c>
      <c r="D1" t="s">
        <v>95</v>
      </c>
      <c r="E1" t="s">
        <v>88</v>
      </c>
      <c r="F1" t="s">
        <v>106</v>
      </c>
      <c r="G1" t="s">
        <v>87</v>
      </c>
      <c r="H1" t="s">
        <v>120</v>
      </c>
      <c r="I1" t="s">
        <v>83</v>
      </c>
      <c r="J1" t="s">
        <v>82</v>
      </c>
      <c r="K1" t="s">
        <v>107</v>
      </c>
      <c r="L1" t="s">
        <v>81</v>
      </c>
      <c r="M1" t="s">
        <v>77</v>
      </c>
      <c r="N1" t="s">
        <v>76</v>
      </c>
      <c r="O1" t="s">
        <v>108</v>
      </c>
      <c r="P1" t="s">
        <v>75</v>
      </c>
      <c r="Q1" t="s">
        <v>71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  <c r="AC1" t="s">
        <v>138</v>
      </c>
    </row>
    <row r="2" spans="1:29" x14ac:dyDescent="0.2">
      <c r="A2" t="s">
        <v>70</v>
      </c>
      <c r="B2">
        <v>75</v>
      </c>
      <c r="C2">
        <v>170</v>
      </c>
      <c r="D2">
        <v>1</v>
      </c>
      <c r="E2">
        <v>95</v>
      </c>
      <c r="F2">
        <v>0</v>
      </c>
      <c r="G2">
        <v>0</v>
      </c>
      <c r="H2">
        <v>0</v>
      </c>
      <c r="I2">
        <v>4.3000000000000007</v>
      </c>
      <c r="J2">
        <v>94</v>
      </c>
      <c r="K2">
        <v>0</v>
      </c>
      <c r="L2">
        <v>0</v>
      </c>
      <c r="M2">
        <v>4.625</v>
      </c>
      <c r="N2">
        <v>98</v>
      </c>
      <c r="O2">
        <v>0</v>
      </c>
      <c r="P2">
        <v>0</v>
      </c>
      <c r="Q2">
        <v>6.2750000000000004</v>
      </c>
      <c r="R2">
        <v>-1</v>
      </c>
      <c r="S2">
        <v>0</v>
      </c>
      <c r="T2">
        <v>0</v>
      </c>
      <c r="U2">
        <v>0.32499999999999929</v>
      </c>
      <c r="V2">
        <v>4</v>
      </c>
      <c r="W2">
        <v>0</v>
      </c>
      <c r="X2">
        <v>0</v>
      </c>
      <c r="Y2">
        <v>1.6500000000000004</v>
      </c>
      <c r="Z2">
        <v>3</v>
      </c>
      <c r="AA2">
        <v>0</v>
      </c>
      <c r="AB2">
        <v>0</v>
      </c>
      <c r="AC2">
        <v>1.9749999999999996</v>
      </c>
    </row>
    <row r="3" spans="1:29" x14ac:dyDescent="0.2">
      <c r="A3" t="s">
        <v>69</v>
      </c>
      <c r="B3">
        <v>75</v>
      </c>
      <c r="C3">
        <v>170</v>
      </c>
      <c r="D3">
        <v>1</v>
      </c>
      <c r="E3">
        <v>100</v>
      </c>
      <c r="F3">
        <v>0</v>
      </c>
      <c r="G3">
        <v>1</v>
      </c>
      <c r="H3">
        <v>0</v>
      </c>
      <c r="I3">
        <v>4.5500000000000007</v>
      </c>
      <c r="J3">
        <v>100</v>
      </c>
      <c r="K3">
        <v>0</v>
      </c>
      <c r="L3">
        <v>0</v>
      </c>
      <c r="M3">
        <v>4.5</v>
      </c>
      <c r="N3">
        <v>98</v>
      </c>
      <c r="O3">
        <v>0</v>
      </c>
      <c r="P3">
        <v>1</v>
      </c>
      <c r="Q3">
        <v>6.2750000000000004</v>
      </c>
      <c r="R3">
        <v>0</v>
      </c>
      <c r="S3">
        <v>0</v>
      </c>
      <c r="T3">
        <v>-1</v>
      </c>
      <c r="U3">
        <v>-5.0000000000000711E-2</v>
      </c>
      <c r="V3">
        <v>-2</v>
      </c>
      <c r="W3">
        <v>0</v>
      </c>
      <c r="X3">
        <v>1</v>
      </c>
      <c r="Y3">
        <v>1.7750000000000004</v>
      </c>
      <c r="Z3">
        <v>-2</v>
      </c>
      <c r="AA3">
        <v>0</v>
      </c>
      <c r="AB3">
        <v>0</v>
      </c>
      <c r="AC3">
        <v>1.7249999999999996</v>
      </c>
    </row>
    <row r="4" spans="1:29" x14ac:dyDescent="0.2">
      <c r="A4" t="s">
        <v>68</v>
      </c>
      <c r="B4">
        <v>71</v>
      </c>
      <c r="C4">
        <v>180</v>
      </c>
      <c r="D4">
        <v>1</v>
      </c>
      <c r="E4">
        <v>98</v>
      </c>
      <c r="F4">
        <v>0</v>
      </c>
      <c r="G4">
        <v>0</v>
      </c>
      <c r="H4">
        <v>0</v>
      </c>
      <c r="I4">
        <v>3.5</v>
      </c>
      <c r="J4">
        <v>70</v>
      </c>
      <c r="K4">
        <v>0</v>
      </c>
      <c r="L4">
        <v>0</v>
      </c>
      <c r="M4">
        <v>3.7750000000000004</v>
      </c>
      <c r="N4">
        <v>89</v>
      </c>
      <c r="O4">
        <v>1</v>
      </c>
      <c r="P4">
        <v>0</v>
      </c>
      <c r="Q4">
        <v>3.875</v>
      </c>
      <c r="R4">
        <v>-28</v>
      </c>
      <c r="S4">
        <v>0</v>
      </c>
      <c r="T4">
        <v>0</v>
      </c>
      <c r="U4">
        <v>0.27500000000000036</v>
      </c>
      <c r="V4">
        <v>19</v>
      </c>
      <c r="W4">
        <v>1</v>
      </c>
      <c r="X4">
        <v>0</v>
      </c>
      <c r="Y4">
        <v>9.9999999999999645E-2</v>
      </c>
      <c r="Z4">
        <v>-9</v>
      </c>
      <c r="AA4">
        <v>1</v>
      </c>
      <c r="AB4">
        <v>0</v>
      </c>
      <c r="AC4">
        <v>0.375</v>
      </c>
    </row>
    <row r="5" spans="1:29" x14ac:dyDescent="0.2">
      <c r="A5" t="s">
        <v>67</v>
      </c>
      <c r="B5">
        <v>71</v>
      </c>
      <c r="C5">
        <v>180</v>
      </c>
      <c r="D5">
        <v>1</v>
      </c>
      <c r="E5">
        <v>51</v>
      </c>
      <c r="F5">
        <v>0</v>
      </c>
      <c r="G5">
        <v>0</v>
      </c>
      <c r="H5">
        <v>1</v>
      </c>
      <c r="I5">
        <v>5.05</v>
      </c>
      <c r="J5">
        <v>56</v>
      </c>
      <c r="K5">
        <v>0</v>
      </c>
      <c r="L5">
        <v>0</v>
      </c>
      <c r="M5">
        <v>5.2249999999999996</v>
      </c>
      <c r="N5">
        <v>76</v>
      </c>
      <c r="O5">
        <v>0</v>
      </c>
      <c r="P5">
        <v>0</v>
      </c>
      <c r="Q5">
        <v>6.95</v>
      </c>
      <c r="R5">
        <v>5</v>
      </c>
      <c r="S5">
        <v>0</v>
      </c>
      <c r="T5">
        <v>0</v>
      </c>
      <c r="U5">
        <v>0.17499999999999982</v>
      </c>
      <c r="V5">
        <v>20</v>
      </c>
      <c r="W5">
        <v>0</v>
      </c>
      <c r="X5">
        <v>0</v>
      </c>
      <c r="Y5">
        <v>1.7250000000000005</v>
      </c>
      <c r="Z5">
        <v>25</v>
      </c>
      <c r="AA5">
        <v>0</v>
      </c>
      <c r="AB5">
        <v>0</v>
      </c>
      <c r="AC5">
        <v>1.9000000000000004</v>
      </c>
    </row>
    <row r="6" spans="1:29" x14ac:dyDescent="0.2">
      <c r="A6" t="s">
        <v>65</v>
      </c>
      <c r="B6">
        <v>69</v>
      </c>
      <c r="C6">
        <v>165</v>
      </c>
      <c r="D6">
        <v>1</v>
      </c>
      <c r="E6">
        <v>100</v>
      </c>
      <c r="F6">
        <v>0</v>
      </c>
      <c r="G6">
        <v>0</v>
      </c>
      <c r="H6">
        <v>0</v>
      </c>
      <c r="I6">
        <v>4.0249999999999995</v>
      </c>
      <c r="J6">
        <v>100</v>
      </c>
      <c r="K6">
        <v>0</v>
      </c>
      <c r="L6">
        <v>0</v>
      </c>
      <c r="M6">
        <v>4.6749999999999998</v>
      </c>
      <c r="N6">
        <v>100</v>
      </c>
      <c r="O6">
        <v>0</v>
      </c>
      <c r="P6">
        <v>0</v>
      </c>
      <c r="Q6">
        <v>4.8250000000000002</v>
      </c>
      <c r="R6">
        <v>0</v>
      </c>
      <c r="S6">
        <v>0</v>
      </c>
      <c r="T6">
        <v>0</v>
      </c>
      <c r="U6">
        <v>0.65000000000000036</v>
      </c>
      <c r="V6">
        <v>0</v>
      </c>
      <c r="W6">
        <v>0</v>
      </c>
      <c r="X6">
        <v>0</v>
      </c>
      <c r="Y6">
        <v>0.15000000000000036</v>
      </c>
      <c r="Z6">
        <v>0</v>
      </c>
      <c r="AA6">
        <v>0</v>
      </c>
      <c r="AB6">
        <v>0</v>
      </c>
      <c r="AC6">
        <v>0.80000000000000071</v>
      </c>
    </row>
    <row r="7" spans="1:29" x14ac:dyDescent="0.2">
      <c r="A7" t="s">
        <v>64</v>
      </c>
      <c r="B7">
        <v>69</v>
      </c>
      <c r="C7">
        <v>165</v>
      </c>
      <c r="D7">
        <v>1</v>
      </c>
      <c r="E7">
        <v>100</v>
      </c>
      <c r="F7">
        <v>0</v>
      </c>
      <c r="G7">
        <v>0</v>
      </c>
      <c r="H7">
        <v>0</v>
      </c>
      <c r="I7">
        <v>3.1500000000000004</v>
      </c>
      <c r="J7">
        <v>100</v>
      </c>
      <c r="K7">
        <v>0</v>
      </c>
      <c r="L7">
        <v>0</v>
      </c>
      <c r="M7">
        <v>3.875</v>
      </c>
      <c r="N7">
        <v>100</v>
      </c>
      <c r="O7">
        <v>0</v>
      </c>
      <c r="P7">
        <v>0</v>
      </c>
      <c r="Q7">
        <v>3.25</v>
      </c>
      <c r="R7">
        <v>0</v>
      </c>
      <c r="S7">
        <v>0</v>
      </c>
      <c r="T7">
        <v>0</v>
      </c>
      <c r="U7">
        <v>0.72499999999999964</v>
      </c>
      <c r="V7">
        <v>0</v>
      </c>
      <c r="W7">
        <v>0</v>
      </c>
      <c r="X7">
        <v>0</v>
      </c>
      <c r="Y7">
        <v>-0.625</v>
      </c>
      <c r="Z7">
        <v>0</v>
      </c>
      <c r="AA7">
        <v>0</v>
      </c>
      <c r="AB7">
        <v>0</v>
      </c>
      <c r="AC7">
        <v>9.9999999999999645E-2</v>
      </c>
    </row>
    <row r="8" spans="1:29" x14ac:dyDescent="0.2">
      <c r="A8" t="s">
        <v>63</v>
      </c>
      <c r="B8">
        <v>76</v>
      </c>
      <c r="C8">
        <v>203</v>
      </c>
      <c r="D8">
        <v>1</v>
      </c>
      <c r="E8">
        <v>71</v>
      </c>
      <c r="F8">
        <v>0</v>
      </c>
      <c r="G8">
        <v>0</v>
      </c>
      <c r="H8">
        <v>1</v>
      </c>
      <c r="I8">
        <v>4.7750000000000004</v>
      </c>
      <c r="J8">
        <v>87</v>
      </c>
      <c r="K8">
        <v>0</v>
      </c>
      <c r="L8">
        <v>0</v>
      </c>
      <c r="M8">
        <v>4.7750000000000004</v>
      </c>
      <c r="N8">
        <v>75</v>
      </c>
      <c r="O8">
        <v>1</v>
      </c>
      <c r="P8">
        <v>0</v>
      </c>
      <c r="Q8">
        <v>6.625</v>
      </c>
      <c r="R8">
        <v>16</v>
      </c>
      <c r="S8">
        <v>0</v>
      </c>
      <c r="T8">
        <v>0</v>
      </c>
      <c r="U8">
        <v>0</v>
      </c>
      <c r="V8">
        <v>-12</v>
      </c>
      <c r="W8">
        <v>1</v>
      </c>
      <c r="X8">
        <v>0</v>
      </c>
      <c r="Y8">
        <v>1.8499999999999996</v>
      </c>
      <c r="Z8">
        <v>4</v>
      </c>
      <c r="AA8">
        <v>1</v>
      </c>
      <c r="AB8">
        <v>0</v>
      </c>
      <c r="AC8">
        <v>1.8499999999999996</v>
      </c>
    </row>
    <row r="9" spans="1:29" x14ac:dyDescent="0.2">
      <c r="A9" t="s">
        <v>62</v>
      </c>
      <c r="B9">
        <v>76</v>
      </c>
      <c r="C9">
        <v>203</v>
      </c>
      <c r="D9">
        <v>1</v>
      </c>
      <c r="E9">
        <v>68</v>
      </c>
      <c r="F9">
        <v>0</v>
      </c>
      <c r="G9">
        <v>0</v>
      </c>
      <c r="H9">
        <v>1</v>
      </c>
      <c r="I9">
        <v>4.55</v>
      </c>
      <c r="J9">
        <v>87</v>
      </c>
      <c r="K9">
        <v>0</v>
      </c>
      <c r="L9">
        <v>0</v>
      </c>
      <c r="M9">
        <v>4.5250000000000004</v>
      </c>
      <c r="N9">
        <v>75</v>
      </c>
      <c r="O9">
        <v>0</v>
      </c>
      <c r="P9">
        <v>0</v>
      </c>
      <c r="Q9">
        <v>6.0750000000000002</v>
      </c>
      <c r="R9">
        <v>19</v>
      </c>
      <c r="S9">
        <v>0</v>
      </c>
      <c r="T9">
        <v>0</v>
      </c>
      <c r="U9">
        <v>-2.4999999999999467E-2</v>
      </c>
      <c r="V9">
        <v>-12</v>
      </c>
      <c r="W9">
        <v>0</v>
      </c>
      <c r="X9">
        <v>0</v>
      </c>
      <c r="Y9">
        <v>1.5499999999999998</v>
      </c>
      <c r="Z9">
        <v>7</v>
      </c>
      <c r="AA9">
        <v>0</v>
      </c>
      <c r="AB9">
        <v>0</v>
      </c>
      <c r="AC9">
        <v>1.5250000000000004</v>
      </c>
    </row>
    <row r="10" spans="1:29" x14ac:dyDescent="0.2">
      <c r="A10" t="s">
        <v>61</v>
      </c>
      <c r="B10">
        <v>79</v>
      </c>
      <c r="C10">
        <v>220</v>
      </c>
      <c r="D10">
        <v>2</v>
      </c>
      <c r="E10">
        <v>73</v>
      </c>
      <c r="F10">
        <v>0</v>
      </c>
      <c r="G10">
        <v>0</v>
      </c>
      <c r="H10">
        <v>1</v>
      </c>
      <c r="I10">
        <v>4.75</v>
      </c>
      <c r="J10">
        <v>65</v>
      </c>
      <c r="K10">
        <v>1</v>
      </c>
      <c r="L10">
        <v>0</v>
      </c>
      <c r="M10">
        <v>4.6499999999999995</v>
      </c>
      <c r="N10">
        <v>66</v>
      </c>
      <c r="O10">
        <v>1</v>
      </c>
      <c r="P10">
        <v>0</v>
      </c>
      <c r="Q10">
        <v>4.9749999999999996</v>
      </c>
      <c r="R10">
        <v>-8</v>
      </c>
      <c r="S10">
        <v>1</v>
      </c>
      <c r="T10">
        <v>0</v>
      </c>
      <c r="U10">
        <v>-0.10000000000000053</v>
      </c>
      <c r="V10">
        <v>1</v>
      </c>
      <c r="W10">
        <v>0</v>
      </c>
      <c r="X10">
        <v>0</v>
      </c>
      <c r="Y10">
        <v>0.32500000000000018</v>
      </c>
      <c r="Z10">
        <v>-7</v>
      </c>
      <c r="AA10">
        <v>1</v>
      </c>
      <c r="AB10">
        <v>0</v>
      </c>
      <c r="AC10">
        <v>0.22499999999999964</v>
      </c>
    </row>
    <row r="11" spans="1:29" x14ac:dyDescent="0.2">
      <c r="A11" t="s">
        <v>60</v>
      </c>
      <c r="B11">
        <v>79</v>
      </c>
      <c r="C11">
        <v>220</v>
      </c>
      <c r="D11">
        <v>2</v>
      </c>
      <c r="E11">
        <v>70</v>
      </c>
      <c r="F11">
        <v>1</v>
      </c>
      <c r="G11">
        <v>0</v>
      </c>
      <c r="H11">
        <v>1</v>
      </c>
      <c r="I11">
        <v>4.6749999999999998</v>
      </c>
      <c r="J11">
        <v>69</v>
      </c>
      <c r="K11">
        <v>1</v>
      </c>
      <c r="L11">
        <v>0</v>
      </c>
      <c r="M11">
        <v>6.0000000000000009</v>
      </c>
      <c r="N11">
        <v>61</v>
      </c>
      <c r="O11">
        <v>1</v>
      </c>
      <c r="P11">
        <v>0</v>
      </c>
      <c r="Q11">
        <v>5.4</v>
      </c>
      <c r="R11">
        <v>-1</v>
      </c>
      <c r="S11">
        <v>0</v>
      </c>
      <c r="T11">
        <v>0</v>
      </c>
      <c r="U11">
        <v>1.3250000000000011</v>
      </c>
      <c r="V11">
        <v>-8</v>
      </c>
      <c r="W11">
        <v>0</v>
      </c>
      <c r="X11">
        <v>0</v>
      </c>
      <c r="Y11">
        <v>-0.60000000000000053</v>
      </c>
      <c r="Z11">
        <v>-9</v>
      </c>
      <c r="AA11">
        <v>0</v>
      </c>
      <c r="AB11">
        <v>0</v>
      </c>
      <c r="AC11">
        <v>0.72500000000000053</v>
      </c>
    </row>
    <row r="12" spans="1:29" x14ac:dyDescent="0.2">
      <c r="A12" t="s">
        <v>59</v>
      </c>
      <c r="B12">
        <v>80</v>
      </c>
      <c r="C12">
        <v>218</v>
      </c>
      <c r="D12">
        <v>2</v>
      </c>
      <c r="E12">
        <v>100</v>
      </c>
      <c r="F12">
        <v>0</v>
      </c>
      <c r="G12">
        <v>0</v>
      </c>
      <c r="H12">
        <v>0</v>
      </c>
      <c r="I12">
        <v>4.875</v>
      </c>
      <c r="J12">
        <v>97</v>
      </c>
      <c r="K12">
        <v>0</v>
      </c>
      <c r="L12">
        <v>0</v>
      </c>
      <c r="M12">
        <v>4.875</v>
      </c>
      <c r="N12">
        <v>100</v>
      </c>
      <c r="O12">
        <v>0</v>
      </c>
      <c r="P12">
        <v>0</v>
      </c>
      <c r="Q12">
        <v>5.5750000000000002</v>
      </c>
      <c r="R12">
        <v>-3</v>
      </c>
      <c r="S12">
        <v>0</v>
      </c>
      <c r="T12">
        <v>0</v>
      </c>
      <c r="U12">
        <v>0</v>
      </c>
      <c r="V12">
        <v>3</v>
      </c>
      <c r="W12">
        <v>0</v>
      </c>
      <c r="X12">
        <v>0</v>
      </c>
      <c r="Y12">
        <v>0.70000000000000018</v>
      </c>
      <c r="Z12">
        <v>0</v>
      </c>
      <c r="AA12">
        <v>0</v>
      </c>
      <c r="AB12">
        <v>0</v>
      </c>
      <c r="AC12">
        <v>0.70000000000000018</v>
      </c>
    </row>
    <row r="13" spans="1:29" x14ac:dyDescent="0.2">
      <c r="A13" t="s">
        <v>58</v>
      </c>
      <c r="B13">
        <v>80</v>
      </c>
      <c r="C13">
        <v>218</v>
      </c>
      <c r="D13">
        <v>2</v>
      </c>
      <c r="E13">
        <v>98</v>
      </c>
      <c r="F13">
        <v>0</v>
      </c>
      <c r="G13">
        <v>0</v>
      </c>
      <c r="H13">
        <v>0</v>
      </c>
      <c r="I13">
        <v>4.95</v>
      </c>
      <c r="J13">
        <v>97</v>
      </c>
      <c r="K13">
        <v>0</v>
      </c>
      <c r="L13">
        <v>0</v>
      </c>
      <c r="M13">
        <v>5.4249999999999998</v>
      </c>
      <c r="N13">
        <v>100</v>
      </c>
      <c r="O13">
        <v>0</v>
      </c>
      <c r="P13">
        <v>0</v>
      </c>
      <c r="Q13">
        <v>5.0999999999999996</v>
      </c>
      <c r="R13">
        <v>-1</v>
      </c>
      <c r="S13">
        <v>0</v>
      </c>
      <c r="T13">
        <v>0</v>
      </c>
      <c r="U13">
        <v>0.47499999999999964</v>
      </c>
      <c r="V13">
        <v>3</v>
      </c>
      <c r="W13">
        <v>0</v>
      </c>
      <c r="X13">
        <v>0</v>
      </c>
      <c r="Y13">
        <v>-0.32500000000000018</v>
      </c>
      <c r="Z13">
        <v>2</v>
      </c>
      <c r="AA13">
        <v>0</v>
      </c>
      <c r="AB13">
        <v>0</v>
      </c>
      <c r="AC13">
        <v>0.14999999999999947</v>
      </c>
    </row>
    <row r="14" spans="1:29" x14ac:dyDescent="0.2">
      <c r="A14" t="s">
        <v>57</v>
      </c>
      <c r="B14">
        <v>77</v>
      </c>
      <c r="C14">
        <v>180</v>
      </c>
      <c r="D14">
        <v>1</v>
      </c>
      <c r="E14">
        <v>90</v>
      </c>
      <c r="F14">
        <v>0</v>
      </c>
      <c r="G14">
        <v>0</v>
      </c>
      <c r="H14">
        <v>0</v>
      </c>
      <c r="I14">
        <v>6.4249999999999989</v>
      </c>
      <c r="J14">
        <v>100</v>
      </c>
      <c r="K14">
        <v>0</v>
      </c>
      <c r="L14">
        <v>0</v>
      </c>
      <c r="M14">
        <v>6.8</v>
      </c>
      <c r="N14">
        <v>94</v>
      </c>
      <c r="O14">
        <v>0</v>
      </c>
      <c r="P14">
        <v>0</v>
      </c>
      <c r="Q14">
        <v>6.1499999999999995</v>
      </c>
      <c r="R14">
        <v>10</v>
      </c>
      <c r="S14">
        <v>0</v>
      </c>
      <c r="T14">
        <v>0</v>
      </c>
      <c r="U14">
        <v>0.37500000000000089</v>
      </c>
      <c r="V14">
        <v>-6</v>
      </c>
      <c r="W14">
        <v>0</v>
      </c>
      <c r="X14">
        <v>0</v>
      </c>
      <c r="Y14">
        <v>-0.65000000000000036</v>
      </c>
      <c r="Z14">
        <v>4</v>
      </c>
      <c r="AA14">
        <v>0</v>
      </c>
      <c r="AB14">
        <v>0</v>
      </c>
      <c r="AC14">
        <v>-0.27499999999999947</v>
      </c>
    </row>
    <row r="15" spans="1:29" x14ac:dyDescent="0.2">
      <c r="A15" t="s">
        <v>56</v>
      </c>
      <c r="B15">
        <v>77</v>
      </c>
      <c r="C15">
        <v>180</v>
      </c>
      <c r="D15">
        <v>1</v>
      </c>
      <c r="E15">
        <v>91</v>
      </c>
      <c r="F15">
        <v>0</v>
      </c>
      <c r="G15">
        <v>0</v>
      </c>
      <c r="H15">
        <v>0</v>
      </c>
      <c r="I15">
        <v>3.6750000000000003</v>
      </c>
      <c r="J15">
        <v>72</v>
      </c>
      <c r="K15">
        <v>0</v>
      </c>
      <c r="L15">
        <v>1</v>
      </c>
      <c r="M15">
        <v>3.7249999999999996</v>
      </c>
      <c r="N15">
        <v>100</v>
      </c>
      <c r="O15">
        <v>0</v>
      </c>
      <c r="P15">
        <v>0</v>
      </c>
      <c r="Q15">
        <v>4.6749999999999998</v>
      </c>
      <c r="R15">
        <v>-19</v>
      </c>
      <c r="S15">
        <v>0</v>
      </c>
      <c r="T15">
        <v>1</v>
      </c>
      <c r="U15">
        <v>4.9999999999999378E-2</v>
      </c>
      <c r="V15">
        <v>28</v>
      </c>
      <c r="W15">
        <v>0</v>
      </c>
      <c r="X15">
        <v>-1</v>
      </c>
      <c r="Y15">
        <v>0.95000000000000018</v>
      </c>
      <c r="Z15">
        <v>9</v>
      </c>
      <c r="AA15">
        <v>0</v>
      </c>
      <c r="AB15">
        <v>0</v>
      </c>
      <c r="AC15">
        <v>0.99999999999999956</v>
      </c>
    </row>
    <row r="16" spans="1:29" x14ac:dyDescent="0.2">
      <c r="A16" t="s">
        <v>55</v>
      </c>
      <c r="B16">
        <v>78</v>
      </c>
      <c r="C16">
        <v>200</v>
      </c>
      <c r="D16">
        <v>2</v>
      </c>
      <c r="E16">
        <v>83</v>
      </c>
      <c r="F16">
        <v>0</v>
      </c>
      <c r="G16">
        <v>0</v>
      </c>
      <c r="H16">
        <v>0</v>
      </c>
      <c r="I16">
        <v>3.6749999999999998</v>
      </c>
      <c r="J16">
        <v>86</v>
      </c>
      <c r="K16">
        <v>0</v>
      </c>
      <c r="L16">
        <v>0</v>
      </c>
      <c r="M16">
        <v>4.1500000000000004</v>
      </c>
      <c r="N16">
        <v>100</v>
      </c>
      <c r="O16">
        <v>0</v>
      </c>
      <c r="P16">
        <v>0</v>
      </c>
      <c r="Q16">
        <v>4.2249999999999996</v>
      </c>
      <c r="R16">
        <v>3</v>
      </c>
      <c r="S16">
        <v>0</v>
      </c>
      <c r="T16">
        <v>0</v>
      </c>
      <c r="U16">
        <v>0.47500000000000053</v>
      </c>
      <c r="V16">
        <v>14</v>
      </c>
      <c r="W16">
        <v>0</v>
      </c>
      <c r="X16">
        <v>0</v>
      </c>
      <c r="Y16">
        <v>7.4999999999999289E-2</v>
      </c>
      <c r="Z16">
        <v>17</v>
      </c>
      <c r="AA16">
        <v>0</v>
      </c>
      <c r="AB16">
        <v>0</v>
      </c>
      <c r="AC16">
        <v>0.54999999999999982</v>
      </c>
    </row>
    <row r="17" spans="1:29" x14ac:dyDescent="0.2">
      <c r="A17" t="s">
        <v>54</v>
      </c>
      <c r="B17">
        <v>78</v>
      </c>
      <c r="C17">
        <v>200</v>
      </c>
      <c r="D17">
        <v>2</v>
      </c>
      <c r="E17">
        <v>76</v>
      </c>
      <c r="F17">
        <v>0</v>
      </c>
      <c r="G17">
        <v>0</v>
      </c>
      <c r="H17">
        <v>1</v>
      </c>
      <c r="I17">
        <v>4.9749999999999996</v>
      </c>
      <c r="J17">
        <v>75</v>
      </c>
      <c r="K17">
        <v>0</v>
      </c>
      <c r="L17">
        <v>0</v>
      </c>
      <c r="M17">
        <v>4.55</v>
      </c>
      <c r="N17">
        <v>80</v>
      </c>
      <c r="O17">
        <v>0</v>
      </c>
      <c r="P17">
        <v>0</v>
      </c>
      <c r="Q17">
        <v>8.9250000000000007</v>
      </c>
      <c r="R17">
        <v>-1</v>
      </c>
      <c r="S17">
        <v>0</v>
      </c>
      <c r="T17">
        <v>0</v>
      </c>
      <c r="U17">
        <v>-0.42499999999999982</v>
      </c>
      <c r="V17">
        <v>5</v>
      </c>
      <c r="W17">
        <v>0</v>
      </c>
      <c r="X17">
        <v>0</v>
      </c>
      <c r="Y17">
        <v>4.3750000000000009</v>
      </c>
      <c r="Z17">
        <v>4</v>
      </c>
      <c r="AA17">
        <v>0</v>
      </c>
      <c r="AB17">
        <v>0</v>
      </c>
      <c r="AC17">
        <v>3.9500000000000011</v>
      </c>
    </row>
    <row r="18" spans="1:29" x14ac:dyDescent="0.2">
      <c r="A18" t="s">
        <v>53</v>
      </c>
      <c r="B18">
        <v>78</v>
      </c>
      <c r="C18">
        <v>200</v>
      </c>
      <c r="D18">
        <v>1</v>
      </c>
      <c r="E18">
        <v>80</v>
      </c>
      <c r="F18">
        <v>0</v>
      </c>
      <c r="G18">
        <v>1</v>
      </c>
      <c r="H18">
        <v>0</v>
      </c>
      <c r="I18">
        <v>3.45</v>
      </c>
      <c r="J18">
        <v>97</v>
      </c>
      <c r="K18">
        <v>0</v>
      </c>
      <c r="L18">
        <v>0</v>
      </c>
      <c r="M18">
        <v>3.55</v>
      </c>
      <c r="N18">
        <v>100</v>
      </c>
      <c r="O18">
        <v>0</v>
      </c>
      <c r="P18">
        <v>0</v>
      </c>
      <c r="Q18">
        <v>4.625</v>
      </c>
      <c r="R18">
        <v>17</v>
      </c>
      <c r="S18">
        <v>0</v>
      </c>
      <c r="T18">
        <v>-1</v>
      </c>
      <c r="U18">
        <v>9.9999999999999645E-2</v>
      </c>
      <c r="V18">
        <v>3</v>
      </c>
      <c r="W18">
        <v>0</v>
      </c>
      <c r="X18">
        <v>0</v>
      </c>
      <c r="Y18">
        <v>1.0750000000000002</v>
      </c>
      <c r="Z18">
        <v>20</v>
      </c>
      <c r="AA18">
        <v>0</v>
      </c>
      <c r="AB18">
        <v>-1</v>
      </c>
      <c r="AC18">
        <v>1.1749999999999998</v>
      </c>
    </row>
    <row r="19" spans="1:29" x14ac:dyDescent="0.2">
      <c r="A19" t="s">
        <v>52</v>
      </c>
      <c r="B19">
        <v>78</v>
      </c>
      <c r="C19">
        <v>200</v>
      </c>
      <c r="D19">
        <v>1</v>
      </c>
      <c r="E19">
        <v>99</v>
      </c>
      <c r="F19">
        <v>0</v>
      </c>
      <c r="G19">
        <v>0</v>
      </c>
      <c r="H19">
        <v>0</v>
      </c>
      <c r="I19">
        <v>5.0999999999999996</v>
      </c>
      <c r="J19">
        <v>97</v>
      </c>
      <c r="K19">
        <v>0</v>
      </c>
      <c r="L19">
        <v>0</v>
      </c>
      <c r="M19">
        <v>4.05</v>
      </c>
      <c r="N19">
        <v>100</v>
      </c>
      <c r="O19">
        <v>0</v>
      </c>
      <c r="P19">
        <v>0</v>
      </c>
      <c r="Q19">
        <v>3.6500000000000004</v>
      </c>
      <c r="R19">
        <v>-2</v>
      </c>
      <c r="S19">
        <v>0</v>
      </c>
      <c r="T19">
        <v>0</v>
      </c>
      <c r="U19">
        <v>-1.0499999999999998</v>
      </c>
      <c r="V19">
        <v>3</v>
      </c>
      <c r="W19">
        <v>0</v>
      </c>
      <c r="X19">
        <v>0</v>
      </c>
      <c r="Y19">
        <v>-0.39999999999999947</v>
      </c>
      <c r="Z19">
        <v>1</v>
      </c>
      <c r="AA19">
        <v>0</v>
      </c>
      <c r="AB19">
        <v>0</v>
      </c>
      <c r="AC19">
        <v>-1.4499999999999993</v>
      </c>
    </row>
    <row r="20" spans="1:29" x14ac:dyDescent="0.2">
      <c r="A20" t="s">
        <v>51</v>
      </c>
      <c r="B20">
        <v>73</v>
      </c>
      <c r="C20">
        <v>179</v>
      </c>
      <c r="D20">
        <v>1</v>
      </c>
      <c r="E20">
        <v>69</v>
      </c>
      <c r="F20">
        <v>1</v>
      </c>
      <c r="G20">
        <v>0</v>
      </c>
      <c r="H20">
        <v>1</v>
      </c>
      <c r="I20">
        <v>8.5</v>
      </c>
      <c r="J20">
        <v>59</v>
      </c>
      <c r="K20">
        <v>1</v>
      </c>
      <c r="L20">
        <v>0</v>
      </c>
      <c r="M20">
        <v>9.0749999999999993</v>
      </c>
      <c r="N20">
        <v>69</v>
      </c>
      <c r="O20">
        <v>1</v>
      </c>
      <c r="P20">
        <v>0</v>
      </c>
      <c r="Q20">
        <v>9.4749999999999996</v>
      </c>
      <c r="R20">
        <v>-10</v>
      </c>
      <c r="S20">
        <v>0</v>
      </c>
      <c r="T20">
        <v>0</v>
      </c>
      <c r="U20">
        <v>0.57499999999999929</v>
      </c>
      <c r="V20">
        <v>10</v>
      </c>
      <c r="W20">
        <v>0</v>
      </c>
      <c r="X20">
        <v>0</v>
      </c>
      <c r="Y20">
        <v>0.40000000000000036</v>
      </c>
      <c r="Z20">
        <v>0</v>
      </c>
      <c r="AA20">
        <v>0</v>
      </c>
      <c r="AB20">
        <v>0</v>
      </c>
      <c r="AC20">
        <v>0.97499999999999964</v>
      </c>
    </row>
    <row r="21" spans="1:29" x14ac:dyDescent="0.2">
      <c r="A21" t="s">
        <v>50</v>
      </c>
      <c r="B21">
        <v>73</v>
      </c>
      <c r="C21">
        <v>179</v>
      </c>
      <c r="D21">
        <v>1</v>
      </c>
      <c r="E21">
        <v>96</v>
      </c>
      <c r="F21">
        <v>0</v>
      </c>
      <c r="G21">
        <v>0</v>
      </c>
      <c r="H21">
        <v>0</v>
      </c>
      <c r="I21">
        <v>6.9749999999999996</v>
      </c>
      <c r="J21">
        <v>49</v>
      </c>
      <c r="K21">
        <v>1</v>
      </c>
      <c r="L21">
        <v>0</v>
      </c>
      <c r="M21">
        <v>7.6499999999999995</v>
      </c>
      <c r="N21">
        <v>69</v>
      </c>
      <c r="O21">
        <v>1</v>
      </c>
      <c r="P21">
        <v>0</v>
      </c>
      <c r="Q21">
        <v>9</v>
      </c>
      <c r="R21">
        <v>-47</v>
      </c>
      <c r="S21">
        <v>1</v>
      </c>
      <c r="T21">
        <v>0</v>
      </c>
      <c r="U21">
        <v>0.67499999999999982</v>
      </c>
      <c r="V21">
        <v>20</v>
      </c>
      <c r="W21">
        <v>0</v>
      </c>
      <c r="X21">
        <v>0</v>
      </c>
      <c r="Y21">
        <v>1.3500000000000005</v>
      </c>
      <c r="Z21">
        <v>-27</v>
      </c>
      <c r="AA21">
        <v>1</v>
      </c>
      <c r="AB21">
        <v>0</v>
      </c>
      <c r="AC21">
        <v>2.0250000000000004</v>
      </c>
    </row>
    <row r="22" spans="1:29" x14ac:dyDescent="0.2">
      <c r="A22" t="s">
        <v>49</v>
      </c>
      <c r="B22">
        <v>73</v>
      </c>
      <c r="C22">
        <v>168</v>
      </c>
      <c r="D22">
        <v>1</v>
      </c>
      <c r="E22">
        <v>99</v>
      </c>
      <c r="F22">
        <v>0</v>
      </c>
      <c r="G22">
        <v>1</v>
      </c>
      <c r="H22">
        <v>0</v>
      </c>
      <c r="I22">
        <v>5.5500000000000007</v>
      </c>
      <c r="J22">
        <v>100</v>
      </c>
      <c r="K22">
        <v>0</v>
      </c>
      <c r="L22">
        <v>0</v>
      </c>
      <c r="M22">
        <v>4.9250000000000007</v>
      </c>
      <c r="N22">
        <v>80</v>
      </c>
      <c r="O22">
        <v>0</v>
      </c>
      <c r="P22">
        <v>0</v>
      </c>
      <c r="Q22">
        <v>6.625</v>
      </c>
      <c r="R22">
        <v>1</v>
      </c>
      <c r="S22">
        <v>0</v>
      </c>
      <c r="T22">
        <v>-1</v>
      </c>
      <c r="U22">
        <v>-0.625</v>
      </c>
      <c r="V22">
        <v>-20</v>
      </c>
      <c r="W22">
        <v>0</v>
      </c>
      <c r="X22">
        <v>0</v>
      </c>
      <c r="Y22">
        <v>1.6999999999999993</v>
      </c>
      <c r="Z22">
        <v>-19</v>
      </c>
      <c r="AA22">
        <v>0</v>
      </c>
      <c r="AB22">
        <v>-1</v>
      </c>
      <c r="AC22">
        <v>1.0749999999999993</v>
      </c>
    </row>
    <row r="23" spans="1:29" x14ac:dyDescent="0.2">
      <c r="A23" t="s">
        <v>48</v>
      </c>
      <c r="B23">
        <v>73</v>
      </c>
      <c r="C23">
        <v>168</v>
      </c>
      <c r="D23">
        <v>1</v>
      </c>
      <c r="E23">
        <v>100</v>
      </c>
      <c r="F23">
        <v>0</v>
      </c>
      <c r="G23">
        <v>0</v>
      </c>
      <c r="H23">
        <v>0</v>
      </c>
      <c r="I23">
        <v>9</v>
      </c>
      <c r="J23">
        <v>100</v>
      </c>
      <c r="K23">
        <v>0</v>
      </c>
      <c r="L23">
        <v>1</v>
      </c>
      <c r="M23">
        <v>5.9749999999999996</v>
      </c>
      <c r="N23">
        <v>99</v>
      </c>
      <c r="O23">
        <v>0</v>
      </c>
      <c r="P23">
        <v>0</v>
      </c>
      <c r="Q23">
        <v>7.0749999999999993</v>
      </c>
      <c r="R23">
        <v>0</v>
      </c>
      <c r="S23">
        <v>0</v>
      </c>
      <c r="T23">
        <v>1</v>
      </c>
      <c r="U23">
        <v>-3.0250000000000004</v>
      </c>
      <c r="V23">
        <v>-1</v>
      </c>
      <c r="W23">
        <v>0</v>
      </c>
      <c r="X23">
        <v>-1</v>
      </c>
      <c r="Y23">
        <v>1.0999999999999996</v>
      </c>
      <c r="Z23">
        <v>-1</v>
      </c>
      <c r="AA23">
        <v>0</v>
      </c>
      <c r="AB23">
        <v>0</v>
      </c>
      <c r="AC23">
        <v>-1.9250000000000007</v>
      </c>
    </row>
    <row r="24" spans="1:29" x14ac:dyDescent="0.2">
      <c r="A24" t="s">
        <v>47</v>
      </c>
      <c r="B24">
        <v>80</v>
      </c>
      <c r="C24">
        <v>220</v>
      </c>
      <c r="D24">
        <v>2</v>
      </c>
      <c r="E24">
        <v>100</v>
      </c>
      <c r="F24">
        <v>0</v>
      </c>
      <c r="G24">
        <v>0</v>
      </c>
      <c r="H24">
        <v>0</v>
      </c>
      <c r="I24">
        <v>3.6</v>
      </c>
      <c r="J24">
        <v>93</v>
      </c>
      <c r="K24">
        <v>0</v>
      </c>
      <c r="L24">
        <v>0</v>
      </c>
      <c r="M24">
        <v>3.6</v>
      </c>
      <c r="N24">
        <v>98</v>
      </c>
      <c r="O24">
        <v>0</v>
      </c>
      <c r="P24">
        <v>0</v>
      </c>
      <c r="Q24">
        <v>3.5750000000000002</v>
      </c>
      <c r="R24">
        <v>-7</v>
      </c>
      <c r="S24">
        <v>0</v>
      </c>
      <c r="T24">
        <v>0</v>
      </c>
      <c r="U24">
        <v>0</v>
      </c>
      <c r="V24">
        <v>5</v>
      </c>
      <c r="W24">
        <v>0</v>
      </c>
      <c r="X24">
        <v>0</v>
      </c>
      <c r="Y24">
        <v>-2.4999999999999911E-2</v>
      </c>
      <c r="Z24">
        <v>-2</v>
      </c>
      <c r="AA24">
        <v>0</v>
      </c>
      <c r="AB24">
        <v>0</v>
      </c>
      <c r="AC24">
        <v>-2.4999999999999911E-2</v>
      </c>
    </row>
    <row r="25" spans="1:29" x14ac:dyDescent="0.2">
      <c r="A25" t="s">
        <v>46</v>
      </c>
      <c r="B25">
        <v>80</v>
      </c>
      <c r="C25">
        <v>220</v>
      </c>
      <c r="D25">
        <v>2</v>
      </c>
      <c r="E25">
        <v>100</v>
      </c>
      <c r="F25">
        <v>0</v>
      </c>
      <c r="G25">
        <v>0</v>
      </c>
      <c r="H25">
        <v>0</v>
      </c>
      <c r="I25">
        <v>3.8499999999999996</v>
      </c>
      <c r="J25">
        <v>100</v>
      </c>
      <c r="K25">
        <v>0</v>
      </c>
      <c r="L25">
        <v>0</v>
      </c>
      <c r="M25">
        <v>4.2250000000000005</v>
      </c>
      <c r="N25">
        <v>98</v>
      </c>
      <c r="O25">
        <v>0</v>
      </c>
      <c r="P25">
        <v>0</v>
      </c>
      <c r="Q25">
        <v>4.7249999999999996</v>
      </c>
      <c r="R25">
        <v>0</v>
      </c>
      <c r="S25">
        <v>0</v>
      </c>
      <c r="T25">
        <v>0</v>
      </c>
      <c r="U25">
        <v>0.37500000000000089</v>
      </c>
      <c r="V25">
        <v>-2</v>
      </c>
      <c r="W25">
        <v>0</v>
      </c>
      <c r="X25">
        <v>0</v>
      </c>
      <c r="Y25">
        <v>0.49999999999999911</v>
      </c>
      <c r="Z25">
        <v>-2</v>
      </c>
      <c r="AA25">
        <v>0</v>
      </c>
      <c r="AB25">
        <v>0</v>
      </c>
      <c r="AC25">
        <v>0.875</v>
      </c>
    </row>
    <row r="26" spans="1:29" x14ac:dyDescent="0.2">
      <c r="A26" t="s">
        <v>45</v>
      </c>
      <c r="B26">
        <v>78</v>
      </c>
      <c r="C26">
        <v>245</v>
      </c>
      <c r="D26">
        <v>2</v>
      </c>
      <c r="E26">
        <v>96</v>
      </c>
      <c r="F26">
        <v>0</v>
      </c>
      <c r="G26">
        <v>0</v>
      </c>
      <c r="H26">
        <v>0</v>
      </c>
      <c r="I26">
        <v>4.8000000000000007</v>
      </c>
      <c r="J26">
        <v>70</v>
      </c>
      <c r="K26">
        <v>0</v>
      </c>
      <c r="L26">
        <v>0</v>
      </c>
      <c r="M26">
        <v>6.9250000000000007</v>
      </c>
      <c r="N26">
        <v>98</v>
      </c>
      <c r="O26">
        <v>0</v>
      </c>
      <c r="P26">
        <v>0</v>
      </c>
      <c r="Q26">
        <v>5.5250000000000004</v>
      </c>
      <c r="R26">
        <v>-26</v>
      </c>
      <c r="S26">
        <v>0</v>
      </c>
      <c r="T26">
        <v>0</v>
      </c>
      <c r="U26">
        <v>2.125</v>
      </c>
      <c r="V26">
        <v>28</v>
      </c>
      <c r="W26">
        <v>0</v>
      </c>
      <c r="X26">
        <v>0</v>
      </c>
      <c r="Y26">
        <v>-1.4000000000000004</v>
      </c>
      <c r="Z26">
        <v>2</v>
      </c>
      <c r="AA26">
        <v>0</v>
      </c>
      <c r="AB26">
        <v>0</v>
      </c>
      <c r="AC26">
        <v>0.72499999999999964</v>
      </c>
    </row>
    <row r="27" spans="1:29" x14ac:dyDescent="0.2">
      <c r="A27" t="s">
        <v>44</v>
      </c>
      <c r="B27">
        <v>78</v>
      </c>
      <c r="C27">
        <v>245</v>
      </c>
      <c r="D27">
        <v>2</v>
      </c>
      <c r="E27">
        <v>66</v>
      </c>
      <c r="F27">
        <v>0</v>
      </c>
      <c r="G27">
        <v>0</v>
      </c>
      <c r="H27">
        <v>1</v>
      </c>
      <c r="I27">
        <v>4.125</v>
      </c>
      <c r="J27">
        <v>62</v>
      </c>
      <c r="K27">
        <v>0</v>
      </c>
      <c r="L27">
        <v>0</v>
      </c>
      <c r="M27">
        <v>5.125</v>
      </c>
      <c r="N27">
        <v>94</v>
      </c>
      <c r="O27">
        <v>0</v>
      </c>
      <c r="P27">
        <v>0</v>
      </c>
      <c r="Q27">
        <v>6.3</v>
      </c>
      <c r="R27">
        <v>-4</v>
      </c>
      <c r="S27">
        <v>0</v>
      </c>
      <c r="T27">
        <v>0</v>
      </c>
      <c r="U27">
        <v>1</v>
      </c>
      <c r="V27">
        <v>32</v>
      </c>
      <c r="W27">
        <v>0</v>
      </c>
      <c r="X27">
        <v>0</v>
      </c>
      <c r="Y27">
        <v>1.1749999999999998</v>
      </c>
      <c r="Z27">
        <v>28</v>
      </c>
      <c r="AA27">
        <v>0</v>
      </c>
      <c r="AB27">
        <v>0</v>
      </c>
      <c r="AC27">
        <v>2.1749999999999998</v>
      </c>
    </row>
    <row r="28" spans="1:29" x14ac:dyDescent="0.2">
      <c r="A28" t="s">
        <v>43</v>
      </c>
      <c r="B28">
        <v>80</v>
      </c>
      <c r="C28">
        <v>245</v>
      </c>
      <c r="D28">
        <v>2</v>
      </c>
      <c r="E28">
        <v>68</v>
      </c>
      <c r="F28">
        <v>1</v>
      </c>
      <c r="G28">
        <v>0</v>
      </c>
      <c r="H28">
        <v>1</v>
      </c>
      <c r="I28">
        <v>8.625</v>
      </c>
      <c r="J28">
        <v>53</v>
      </c>
      <c r="K28">
        <v>1</v>
      </c>
      <c r="L28">
        <v>0</v>
      </c>
      <c r="M28">
        <v>8.25</v>
      </c>
      <c r="N28">
        <v>61</v>
      </c>
      <c r="O28">
        <v>1</v>
      </c>
      <c r="P28">
        <v>0</v>
      </c>
      <c r="Q28">
        <v>9.5500000000000007</v>
      </c>
      <c r="R28">
        <v>-15</v>
      </c>
      <c r="S28">
        <v>0</v>
      </c>
      <c r="T28">
        <v>0</v>
      </c>
      <c r="U28">
        <v>-0.375</v>
      </c>
      <c r="V28">
        <v>8</v>
      </c>
      <c r="W28">
        <v>0</v>
      </c>
      <c r="X28">
        <v>0</v>
      </c>
      <c r="Y28">
        <v>1.3000000000000007</v>
      </c>
      <c r="Z28">
        <v>-7</v>
      </c>
      <c r="AA28">
        <v>0</v>
      </c>
      <c r="AB28">
        <v>0</v>
      </c>
      <c r="AC28">
        <v>0.92500000000000071</v>
      </c>
    </row>
    <row r="29" spans="1:29" x14ac:dyDescent="0.2">
      <c r="A29" t="s">
        <v>42</v>
      </c>
      <c r="B29">
        <v>80</v>
      </c>
      <c r="C29">
        <v>245</v>
      </c>
      <c r="D29">
        <v>2</v>
      </c>
      <c r="E29">
        <v>68</v>
      </c>
      <c r="F29">
        <v>0</v>
      </c>
      <c r="G29">
        <v>0</v>
      </c>
      <c r="H29">
        <v>1</v>
      </c>
      <c r="I29">
        <v>5.8249999999999993</v>
      </c>
      <c r="J29">
        <v>53</v>
      </c>
      <c r="K29">
        <v>1</v>
      </c>
      <c r="L29">
        <v>0</v>
      </c>
      <c r="M29">
        <v>7.375</v>
      </c>
      <c r="N29">
        <v>61</v>
      </c>
      <c r="O29">
        <v>1</v>
      </c>
      <c r="P29">
        <v>0</v>
      </c>
      <c r="Q29">
        <v>6.5</v>
      </c>
      <c r="R29">
        <v>-15</v>
      </c>
      <c r="S29">
        <v>1</v>
      </c>
      <c r="T29">
        <v>0</v>
      </c>
      <c r="U29">
        <v>1.5500000000000007</v>
      </c>
      <c r="V29">
        <v>8</v>
      </c>
      <c r="W29">
        <v>0</v>
      </c>
      <c r="X29">
        <v>0</v>
      </c>
      <c r="Y29">
        <v>-0.875</v>
      </c>
      <c r="Z29">
        <v>-7</v>
      </c>
      <c r="AA29">
        <v>1</v>
      </c>
      <c r="AB29">
        <v>0</v>
      </c>
      <c r="AC29">
        <v>0.67500000000000071</v>
      </c>
    </row>
    <row r="30" spans="1:29" x14ac:dyDescent="0.2">
      <c r="A30" t="s">
        <v>41</v>
      </c>
      <c r="B30">
        <v>75</v>
      </c>
      <c r="C30">
        <v>175</v>
      </c>
      <c r="D30">
        <v>1</v>
      </c>
      <c r="E30">
        <v>78</v>
      </c>
      <c r="F30">
        <v>1</v>
      </c>
      <c r="G30">
        <v>0</v>
      </c>
      <c r="H30">
        <v>1</v>
      </c>
      <c r="I30">
        <v>3.875</v>
      </c>
      <c r="J30">
        <v>72</v>
      </c>
      <c r="K30">
        <v>1</v>
      </c>
      <c r="L30">
        <v>0</v>
      </c>
      <c r="M30">
        <v>4.05</v>
      </c>
      <c r="N30">
        <v>-999</v>
      </c>
      <c r="O30">
        <v>-999</v>
      </c>
      <c r="P30">
        <v>-999</v>
      </c>
      <c r="Q30">
        <v>-999</v>
      </c>
      <c r="R30">
        <v>-6</v>
      </c>
      <c r="S30">
        <v>0</v>
      </c>
      <c r="T30">
        <v>0</v>
      </c>
      <c r="U30">
        <v>0.17499999999999982</v>
      </c>
      <c r="V30">
        <v>-999</v>
      </c>
      <c r="W30">
        <v>-999</v>
      </c>
      <c r="X30">
        <v>-999</v>
      </c>
      <c r="Y30">
        <v>-999</v>
      </c>
      <c r="Z30">
        <v>-999</v>
      </c>
      <c r="AA30">
        <v>-999</v>
      </c>
      <c r="AB30">
        <v>-999</v>
      </c>
      <c r="AC30">
        <v>-999</v>
      </c>
    </row>
    <row r="31" spans="1:29" x14ac:dyDescent="0.2">
      <c r="A31" t="s">
        <v>40</v>
      </c>
      <c r="B31">
        <v>75</v>
      </c>
      <c r="C31">
        <v>175</v>
      </c>
      <c r="D31">
        <v>1</v>
      </c>
      <c r="E31">
        <v>78</v>
      </c>
      <c r="F31">
        <v>0</v>
      </c>
      <c r="G31">
        <v>0</v>
      </c>
      <c r="H31">
        <v>1</v>
      </c>
      <c r="I31">
        <v>3.7250000000000005</v>
      </c>
      <c r="J31">
        <v>54</v>
      </c>
      <c r="K31">
        <v>1</v>
      </c>
      <c r="L31">
        <v>0</v>
      </c>
      <c r="M31">
        <v>4.375</v>
      </c>
      <c r="N31">
        <v>-999</v>
      </c>
      <c r="O31">
        <v>-999</v>
      </c>
      <c r="P31">
        <v>-999</v>
      </c>
      <c r="Q31">
        <v>-999</v>
      </c>
      <c r="R31">
        <v>-24</v>
      </c>
      <c r="S31">
        <v>1</v>
      </c>
      <c r="T31">
        <v>0</v>
      </c>
      <c r="U31">
        <v>0.64999999999999947</v>
      </c>
      <c r="V31">
        <v>-999</v>
      </c>
      <c r="W31">
        <v>-999</v>
      </c>
      <c r="X31">
        <v>-999</v>
      </c>
      <c r="Y31">
        <v>-999</v>
      </c>
      <c r="Z31">
        <v>-999</v>
      </c>
      <c r="AA31">
        <v>-999</v>
      </c>
      <c r="AB31">
        <v>-999</v>
      </c>
      <c r="AC31">
        <v>-999</v>
      </c>
    </row>
    <row r="32" spans="1:29" x14ac:dyDescent="0.2">
      <c r="A32" t="s">
        <v>39</v>
      </c>
      <c r="B32">
        <v>81</v>
      </c>
      <c r="C32">
        <v>240</v>
      </c>
      <c r="D32">
        <v>2</v>
      </c>
      <c r="E32">
        <v>86</v>
      </c>
      <c r="F32">
        <v>0</v>
      </c>
      <c r="G32">
        <v>0</v>
      </c>
      <c r="H32">
        <v>0</v>
      </c>
      <c r="I32">
        <v>4.375</v>
      </c>
      <c r="J32">
        <v>59</v>
      </c>
      <c r="K32">
        <v>1</v>
      </c>
      <c r="L32">
        <v>1</v>
      </c>
      <c r="M32">
        <v>4.75</v>
      </c>
      <c r="N32">
        <v>50</v>
      </c>
      <c r="O32">
        <v>1</v>
      </c>
      <c r="P32">
        <v>1</v>
      </c>
      <c r="Q32">
        <v>5.7249999999999996</v>
      </c>
      <c r="R32">
        <v>-27</v>
      </c>
      <c r="S32">
        <v>1</v>
      </c>
      <c r="T32">
        <v>1</v>
      </c>
      <c r="U32">
        <v>0.375</v>
      </c>
      <c r="V32">
        <v>-9</v>
      </c>
      <c r="W32">
        <v>0</v>
      </c>
      <c r="X32">
        <v>0</v>
      </c>
      <c r="Y32">
        <v>0.97499999999999964</v>
      </c>
      <c r="Z32">
        <v>-36</v>
      </c>
      <c r="AA32">
        <v>1</v>
      </c>
      <c r="AB32">
        <v>1</v>
      </c>
      <c r="AC32">
        <v>1.3499999999999996</v>
      </c>
    </row>
    <row r="33" spans="1:29" x14ac:dyDescent="0.2">
      <c r="A33" t="s">
        <v>38</v>
      </c>
      <c r="B33">
        <v>81</v>
      </c>
      <c r="C33">
        <v>240</v>
      </c>
      <c r="D33">
        <v>2</v>
      </c>
      <c r="E33">
        <v>86</v>
      </c>
      <c r="F33">
        <v>0</v>
      </c>
      <c r="G33">
        <v>0</v>
      </c>
      <c r="H33">
        <v>0</v>
      </c>
      <c r="I33">
        <v>4.5999999999999996</v>
      </c>
      <c r="J33">
        <v>59</v>
      </c>
      <c r="K33">
        <v>1</v>
      </c>
      <c r="L33">
        <v>1</v>
      </c>
      <c r="M33">
        <v>5.15</v>
      </c>
      <c r="N33">
        <v>94</v>
      </c>
      <c r="O33">
        <v>1</v>
      </c>
      <c r="P33">
        <v>0</v>
      </c>
      <c r="Q33">
        <v>5.6250000000000009</v>
      </c>
      <c r="R33">
        <v>-27</v>
      </c>
      <c r="S33">
        <v>1</v>
      </c>
      <c r="T33">
        <v>1</v>
      </c>
      <c r="U33">
        <v>0.55000000000000071</v>
      </c>
      <c r="V33">
        <v>35</v>
      </c>
      <c r="W33">
        <v>0</v>
      </c>
      <c r="X33">
        <v>-1</v>
      </c>
      <c r="Y33">
        <v>0.47500000000000053</v>
      </c>
      <c r="Z33">
        <v>8</v>
      </c>
      <c r="AA33">
        <v>1</v>
      </c>
      <c r="AB33">
        <v>0</v>
      </c>
      <c r="AC33">
        <v>1.0250000000000012</v>
      </c>
    </row>
    <row r="34" spans="1:29" x14ac:dyDescent="0.2">
      <c r="A34" t="s">
        <v>37</v>
      </c>
      <c r="B34">
        <v>76</v>
      </c>
      <c r="C34">
        <v>195</v>
      </c>
      <c r="D34">
        <v>2</v>
      </c>
      <c r="E34">
        <v>67</v>
      </c>
      <c r="F34">
        <v>0</v>
      </c>
      <c r="G34">
        <v>0</v>
      </c>
      <c r="H34">
        <v>1</v>
      </c>
      <c r="I34">
        <v>3.9</v>
      </c>
      <c r="J34">
        <v>68</v>
      </c>
      <c r="K34">
        <v>1</v>
      </c>
      <c r="L34">
        <v>0</v>
      </c>
      <c r="M34">
        <v>5.1750000000000007</v>
      </c>
      <c r="N34">
        <v>61</v>
      </c>
      <c r="O34">
        <v>0</v>
      </c>
      <c r="P34">
        <v>0</v>
      </c>
      <c r="Q34">
        <v>5.4249999999999998</v>
      </c>
      <c r="R34">
        <v>1</v>
      </c>
      <c r="S34">
        <v>1</v>
      </c>
      <c r="T34">
        <v>0</v>
      </c>
      <c r="U34">
        <v>1.2750000000000008</v>
      </c>
      <c r="V34">
        <v>-7</v>
      </c>
      <c r="W34">
        <v>-1</v>
      </c>
      <c r="X34">
        <v>0</v>
      </c>
      <c r="Y34">
        <v>0.24999999999999911</v>
      </c>
      <c r="Z34">
        <v>-6</v>
      </c>
      <c r="AA34">
        <v>0</v>
      </c>
      <c r="AB34">
        <v>0</v>
      </c>
      <c r="AC34">
        <v>1.5249999999999999</v>
      </c>
    </row>
    <row r="35" spans="1:29" x14ac:dyDescent="0.2">
      <c r="A35" t="s">
        <v>36</v>
      </c>
      <c r="B35">
        <v>76</v>
      </c>
      <c r="C35">
        <v>195</v>
      </c>
      <c r="D35">
        <v>2</v>
      </c>
      <c r="E35">
        <v>70</v>
      </c>
      <c r="F35">
        <v>0</v>
      </c>
      <c r="G35">
        <v>1</v>
      </c>
      <c r="H35">
        <v>1</v>
      </c>
      <c r="I35">
        <v>5.375</v>
      </c>
      <c r="J35">
        <v>75</v>
      </c>
      <c r="K35">
        <v>0</v>
      </c>
      <c r="L35">
        <v>0</v>
      </c>
      <c r="M35">
        <v>4.3250000000000002</v>
      </c>
      <c r="N35">
        <v>65</v>
      </c>
      <c r="O35">
        <v>0</v>
      </c>
      <c r="P35">
        <v>0</v>
      </c>
      <c r="Q35">
        <v>5.45</v>
      </c>
      <c r="R35">
        <v>5</v>
      </c>
      <c r="S35">
        <v>0</v>
      </c>
      <c r="T35">
        <v>-1</v>
      </c>
      <c r="U35">
        <v>-1.0499999999999998</v>
      </c>
      <c r="V35">
        <v>-10</v>
      </c>
      <c r="W35">
        <v>0</v>
      </c>
      <c r="X35">
        <v>0</v>
      </c>
      <c r="Y35">
        <v>1.125</v>
      </c>
      <c r="Z35">
        <v>-5</v>
      </c>
      <c r="AA35">
        <v>0</v>
      </c>
      <c r="AB35">
        <v>-1</v>
      </c>
      <c r="AC35">
        <v>7.5000000000000178E-2</v>
      </c>
    </row>
    <row r="36" spans="1:29" x14ac:dyDescent="0.2">
      <c r="A36" t="s">
        <v>35</v>
      </c>
      <c r="B36">
        <v>79</v>
      </c>
      <c r="C36">
        <v>205</v>
      </c>
      <c r="D36">
        <v>1</v>
      </c>
      <c r="E36">
        <v>100</v>
      </c>
      <c r="F36">
        <v>0</v>
      </c>
      <c r="G36">
        <v>0</v>
      </c>
      <c r="H36">
        <v>0</v>
      </c>
      <c r="I36">
        <v>4.5500000000000007</v>
      </c>
      <c r="J36">
        <v>100</v>
      </c>
      <c r="K36">
        <v>0</v>
      </c>
      <c r="L36">
        <v>0</v>
      </c>
      <c r="M36">
        <v>4.625</v>
      </c>
      <c r="N36">
        <v>99</v>
      </c>
      <c r="O36">
        <v>0</v>
      </c>
      <c r="P36">
        <v>0</v>
      </c>
      <c r="Q36">
        <v>4.2249999999999996</v>
      </c>
      <c r="R36">
        <v>0</v>
      </c>
      <c r="S36">
        <v>0</v>
      </c>
      <c r="T36">
        <v>0</v>
      </c>
      <c r="U36">
        <v>7.4999999999999289E-2</v>
      </c>
      <c r="V36">
        <v>-1</v>
      </c>
      <c r="W36">
        <v>0</v>
      </c>
      <c r="X36">
        <v>0</v>
      </c>
      <c r="Y36">
        <v>-0.40000000000000036</v>
      </c>
      <c r="Z36">
        <v>-1</v>
      </c>
      <c r="AA36">
        <v>0</v>
      </c>
      <c r="AB36">
        <v>0</v>
      </c>
      <c r="AC36">
        <v>-0.32500000000000107</v>
      </c>
    </row>
    <row r="37" spans="1:29" x14ac:dyDescent="0.2">
      <c r="A37" t="s">
        <v>34</v>
      </c>
      <c r="B37">
        <v>79</v>
      </c>
      <c r="C37">
        <v>205</v>
      </c>
      <c r="D37">
        <v>1</v>
      </c>
      <c r="E37">
        <v>100</v>
      </c>
      <c r="F37">
        <v>0</v>
      </c>
      <c r="G37">
        <v>0</v>
      </c>
      <c r="H37">
        <v>0</v>
      </c>
      <c r="I37">
        <v>4.9749999999999996</v>
      </c>
      <c r="J37">
        <v>100</v>
      </c>
      <c r="K37">
        <v>0</v>
      </c>
      <c r="L37">
        <v>0</v>
      </c>
      <c r="M37">
        <v>5.5000000000000009</v>
      </c>
      <c r="N37">
        <v>99</v>
      </c>
      <c r="O37">
        <v>0</v>
      </c>
      <c r="P37">
        <v>0</v>
      </c>
      <c r="Q37">
        <v>5.4250000000000007</v>
      </c>
      <c r="R37">
        <v>0</v>
      </c>
      <c r="S37">
        <v>0</v>
      </c>
      <c r="T37">
        <v>0</v>
      </c>
      <c r="U37">
        <v>0.52500000000000124</v>
      </c>
      <c r="V37">
        <v>-1</v>
      </c>
      <c r="W37">
        <v>0</v>
      </c>
      <c r="X37">
        <v>0</v>
      </c>
      <c r="Y37">
        <v>-7.5000000000000178E-2</v>
      </c>
      <c r="Z37">
        <v>-1</v>
      </c>
      <c r="AA37">
        <v>0</v>
      </c>
      <c r="AB37">
        <v>0</v>
      </c>
      <c r="AC37">
        <v>0.45000000000000107</v>
      </c>
    </row>
    <row r="38" spans="1:29" x14ac:dyDescent="0.2">
      <c r="A38" t="s">
        <v>33</v>
      </c>
      <c r="B38">
        <v>81</v>
      </c>
      <c r="C38">
        <v>220</v>
      </c>
      <c r="D38">
        <v>2</v>
      </c>
      <c r="E38">
        <v>100</v>
      </c>
      <c r="F38">
        <v>0</v>
      </c>
      <c r="G38">
        <v>0</v>
      </c>
      <c r="H38">
        <v>0</v>
      </c>
      <c r="I38">
        <v>6.125</v>
      </c>
      <c r="J38">
        <v>100</v>
      </c>
      <c r="K38">
        <v>0</v>
      </c>
      <c r="L38">
        <v>0</v>
      </c>
      <c r="M38">
        <v>9.2750000000000004</v>
      </c>
      <c r="N38">
        <v>100</v>
      </c>
      <c r="O38">
        <v>0</v>
      </c>
      <c r="P38">
        <v>0</v>
      </c>
      <c r="Q38">
        <v>8.2749999999999986</v>
      </c>
      <c r="R38">
        <v>0</v>
      </c>
      <c r="S38">
        <v>0</v>
      </c>
      <c r="T38">
        <v>0</v>
      </c>
      <c r="U38">
        <v>3.1500000000000004</v>
      </c>
      <c r="V38">
        <v>0</v>
      </c>
      <c r="W38">
        <v>0</v>
      </c>
      <c r="X38">
        <v>0</v>
      </c>
      <c r="Y38">
        <v>-1.0000000000000018</v>
      </c>
      <c r="Z38">
        <v>0</v>
      </c>
      <c r="AA38">
        <v>0</v>
      </c>
      <c r="AB38">
        <v>0</v>
      </c>
      <c r="AC38">
        <v>2.1499999999999986</v>
      </c>
    </row>
    <row r="39" spans="1:29" x14ac:dyDescent="0.2">
      <c r="A39" t="s">
        <v>32</v>
      </c>
      <c r="B39">
        <v>81</v>
      </c>
      <c r="C39">
        <v>220</v>
      </c>
      <c r="D39">
        <v>2</v>
      </c>
      <c r="E39">
        <v>90</v>
      </c>
      <c r="F39">
        <v>0</v>
      </c>
      <c r="G39">
        <v>0</v>
      </c>
      <c r="H39">
        <v>0</v>
      </c>
      <c r="I39">
        <v>12.775</v>
      </c>
      <c r="J39">
        <v>77</v>
      </c>
      <c r="K39">
        <v>0</v>
      </c>
      <c r="L39">
        <v>0</v>
      </c>
      <c r="M39">
        <v>13.625</v>
      </c>
      <c r="N39">
        <v>100</v>
      </c>
      <c r="O39">
        <v>0</v>
      </c>
      <c r="P39">
        <v>0</v>
      </c>
      <c r="Q39">
        <v>13.100000000000001</v>
      </c>
      <c r="R39">
        <v>-13</v>
      </c>
      <c r="S39">
        <v>0</v>
      </c>
      <c r="T39">
        <v>0</v>
      </c>
      <c r="U39">
        <v>0.84999999999999964</v>
      </c>
      <c r="V39">
        <v>23</v>
      </c>
      <c r="W39">
        <v>0</v>
      </c>
      <c r="X39">
        <v>0</v>
      </c>
      <c r="Y39">
        <v>-0.52499999999999858</v>
      </c>
      <c r="Z39">
        <v>10</v>
      </c>
      <c r="AA39">
        <v>0</v>
      </c>
      <c r="AB39">
        <v>0</v>
      </c>
      <c r="AC39">
        <v>0.32500000000000107</v>
      </c>
    </row>
    <row r="40" spans="1:29" x14ac:dyDescent="0.2">
      <c r="A40" t="s">
        <v>31</v>
      </c>
      <c r="B40">
        <v>73</v>
      </c>
      <c r="C40">
        <v>170</v>
      </c>
      <c r="D40">
        <v>1</v>
      </c>
      <c r="E40">
        <v>100</v>
      </c>
      <c r="F40">
        <v>0</v>
      </c>
      <c r="G40">
        <v>0</v>
      </c>
      <c r="H40">
        <v>0</v>
      </c>
      <c r="I40">
        <v>3.625</v>
      </c>
      <c r="J40">
        <v>94</v>
      </c>
      <c r="K40">
        <v>0</v>
      </c>
      <c r="L40">
        <v>0</v>
      </c>
      <c r="M40">
        <v>3.95</v>
      </c>
      <c r="N40">
        <v>100</v>
      </c>
      <c r="O40">
        <v>0</v>
      </c>
      <c r="P40">
        <v>0</v>
      </c>
      <c r="Q40">
        <v>3.625</v>
      </c>
      <c r="R40">
        <v>-6</v>
      </c>
      <c r="S40">
        <v>0</v>
      </c>
      <c r="T40">
        <v>0</v>
      </c>
      <c r="U40">
        <v>0.32500000000000018</v>
      </c>
      <c r="V40">
        <v>6</v>
      </c>
      <c r="W40">
        <v>0</v>
      </c>
      <c r="X40">
        <v>0</v>
      </c>
      <c r="Y40">
        <v>-0.32500000000000018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30</v>
      </c>
      <c r="B41">
        <v>73</v>
      </c>
      <c r="C41">
        <v>170</v>
      </c>
      <c r="D41">
        <v>1</v>
      </c>
      <c r="E41">
        <v>59</v>
      </c>
      <c r="F41">
        <v>0</v>
      </c>
      <c r="G41">
        <v>0</v>
      </c>
      <c r="H41">
        <v>1</v>
      </c>
      <c r="I41">
        <v>10.5</v>
      </c>
      <c r="J41">
        <v>71</v>
      </c>
      <c r="K41">
        <v>0</v>
      </c>
      <c r="L41">
        <v>0</v>
      </c>
      <c r="M41">
        <v>15.8</v>
      </c>
      <c r="N41">
        <v>84</v>
      </c>
      <c r="O41">
        <v>0</v>
      </c>
      <c r="P41">
        <v>0</v>
      </c>
      <c r="Q41">
        <v>15.65</v>
      </c>
      <c r="R41">
        <v>12</v>
      </c>
      <c r="S41">
        <v>0</v>
      </c>
      <c r="T41">
        <v>0</v>
      </c>
      <c r="U41">
        <v>5.3000000000000007</v>
      </c>
      <c r="V41">
        <v>13</v>
      </c>
      <c r="W41">
        <v>0</v>
      </c>
      <c r="X41">
        <v>0</v>
      </c>
      <c r="Y41">
        <v>-0.15000000000000036</v>
      </c>
      <c r="Z41">
        <v>25</v>
      </c>
      <c r="AA41">
        <v>0</v>
      </c>
      <c r="AB41">
        <v>0</v>
      </c>
      <c r="AC41">
        <v>5.15</v>
      </c>
    </row>
    <row r="42" spans="1:29" x14ac:dyDescent="0.2">
      <c r="A42" t="s">
        <v>29</v>
      </c>
      <c r="B42">
        <v>73</v>
      </c>
      <c r="C42">
        <v>188</v>
      </c>
      <c r="D42">
        <v>1</v>
      </c>
      <c r="E42">
        <v>89</v>
      </c>
      <c r="F42">
        <v>1</v>
      </c>
      <c r="G42">
        <v>0</v>
      </c>
      <c r="H42">
        <v>1</v>
      </c>
      <c r="I42">
        <v>5.6749999999999998</v>
      </c>
      <c r="J42">
        <v>52</v>
      </c>
      <c r="K42">
        <v>1</v>
      </c>
      <c r="L42">
        <v>0</v>
      </c>
      <c r="M42">
        <v>7.5500000000000007</v>
      </c>
      <c r="N42">
        <v>74</v>
      </c>
      <c r="O42">
        <v>1</v>
      </c>
      <c r="P42">
        <v>0</v>
      </c>
      <c r="Q42">
        <v>6.3750000000000009</v>
      </c>
      <c r="R42">
        <v>-37</v>
      </c>
      <c r="S42">
        <v>0</v>
      </c>
      <c r="T42">
        <v>0</v>
      </c>
      <c r="U42">
        <v>1.8750000000000009</v>
      </c>
      <c r="V42">
        <v>22</v>
      </c>
      <c r="W42">
        <v>0</v>
      </c>
      <c r="X42">
        <v>0</v>
      </c>
      <c r="Y42">
        <v>-1.1749999999999998</v>
      </c>
      <c r="Z42">
        <v>-15</v>
      </c>
      <c r="AA42">
        <v>0</v>
      </c>
      <c r="AB42">
        <v>0</v>
      </c>
      <c r="AC42">
        <v>0.70000000000000107</v>
      </c>
    </row>
    <row r="43" spans="1:29" x14ac:dyDescent="0.2">
      <c r="A43" t="s">
        <v>28</v>
      </c>
      <c r="B43">
        <v>73</v>
      </c>
      <c r="C43">
        <v>188</v>
      </c>
      <c r="D43">
        <v>1</v>
      </c>
      <c r="E43">
        <v>75</v>
      </c>
      <c r="F43">
        <v>1</v>
      </c>
      <c r="G43">
        <v>0</v>
      </c>
      <c r="H43">
        <v>1</v>
      </c>
      <c r="I43">
        <v>6.75</v>
      </c>
      <c r="J43">
        <v>42</v>
      </c>
      <c r="K43">
        <v>1</v>
      </c>
      <c r="L43">
        <v>0</v>
      </c>
      <c r="M43">
        <v>11.875</v>
      </c>
      <c r="N43">
        <v>77</v>
      </c>
      <c r="O43">
        <v>1</v>
      </c>
      <c r="P43">
        <v>0</v>
      </c>
      <c r="Q43">
        <v>10.675000000000001</v>
      </c>
      <c r="R43">
        <v>-33</v>
      </c>
      <c r="S43">
        <v>0</v>
      </c>
      <c r="T43">
        <v>0</v>
      </c>
      <c r="U43">
        <v>5.125</v>
      </c>
      <c r="V43">
        <v>35</v>
      </c>
      <c r="W43">
        <v>0</v>
      </c>
      <c r="X43">
        <v>0</v>
      </c>
      <c r="Y43">
        <v>-1.1999999999999993</v>
      </c>
      <c r="Z43">
        <v>2</v>
      </c>
      <c r="AA43">
        <v>0</v>
      </c>
      <c r="AB43">
        <v>0</v>
      </c>
      <c r="AC43">
        <v>3.9250000000000007</v>
      </c>
    </row>
    <row r="44" spans="1:29" x14ac:dyDescent="0.2">
      <c r="A44" t="s">
        <v>27</v>
      </c>
      <c r="B44">
        <v>67</v>
      </c>
      <c r="C44">
        <v>180</v>
      </c>
      <c r="D44">
        <v>1</v>
      </c>
      <c r="E44">
        <v>51</v>
      </c>
      <c r="F44">
        <v>0</v>
      </c>
      <c r="G44">
        <v>0</v>
      </c>
      <c r="H44">
        <v>1</v>
      </c>
      <c r="I44">
        <v>5.8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  <c r="X44">
        <v>-999</v>
      </c>
      <c r="Y44">
        <v>-999</v>
      </c>
      <c r="Z44">
        <v>-999</v>
      </c>
      <c r="AA44">
        <v>-999</v>
      </c>
      <c r="AB44">
        <v>-999</v>
      </c>
      <c r="AC44">
        <v>-999</v>
      </c>
    </row>
    <row r="45" spans="1:29" x14ac:dyDescent="0.2">
      <c r="A45" t="s">
        <v>26</v>
      </c>
      <c r="B45">
        <v>67</v>
      </c>
      <c r="C45">
        <v>180</v>
      </c>
      <c r="D45">
        <v>1</v>
      </c>
      <c r="E45">
        <v>39</v>
      </c>
      <c r="F45">
        <v>0</v>
      </c>
      <c r="G45">
        <v>0</v>
      </c>
      <c r="H45">
        <v>1</v>
      </c>
      <c r="I45">
        <v>4.7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  <c r="X45">
        <v>-999</v>
      </c>
      <c r="Y45">
        <v>-999</v>
      </c>
      <c r="Z45">
        <v>-999</v>
      </c>
      <c r="AA45">
        <v>-999</v>
      </c>
      <c r="AB45">
        <v>-999</v>
      </c>
      <c r="AC45">
        <v>-999</v>
      </c>
    </row>
    <row r="46" spans="1:29" x14ac:dyDescent="0.2">
      <c r="A46" t="s">
        <v>25</v>
      </c>
      <c r="B46">
        <v>74</v>
      </c>
      <c r="C46">
        <v>200</v>
      </c>
      <c r="D46">
        <v>1</v>
      </c>
      <c r="E46">
        <v>54</v>
      </c>
      <c r="F46">
        <v>0</v>
      </c>
      <c r="G46">
        <v>0</v>
      </c>
      <c r="H46">
        <v>1</v>
      </c>
      <c r="I46">
        <v>3.8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  <c r="X46">
        <v>-999</v>
      </c>
      <c r="Y46">
        <v>-999</v>
      </c>
      <c r="Z46">
        <v>-999</v>
      </c>
      <c r="AA46">
        <v>-999</v>
      </c>
      <c r="AB46">
        <v>-999</v>
      </c>
      <c r="AC46">
        <v>-999</v>
      </c>
    </row>
    <row r="47" spans="1:29" x14ac:dyDescent="0.2">
      <c r="A47" t="s">
        <v>24</v>
      </c>
      <c r="B47">
        <v>74</v>
      </c>
      <c r="C47">
        <v>200</v>
      </c>
      <c r="D47">
        <v>1</v>
      </c>
      <c r="E47">
        <v>95</v>
      </c>
      <c r="F47">
        <v>0</v>
      </c>
      <c r="G47">
        <v>0</v>
      </c>
      <c r="H47">
        <v>0</v>
      </c>
      <c r="I47">
        <v>4.25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  <c r="X47">
        <v>-999</v>
      </c>
      <c r="Y47">
        <v>-999</v>
      </c>
      <c r="Z47">
        <v>-999</v>
      </c>
      <c r="AA47">
        <v>-999</v>
      </c>
      <c r="AB47">
        <v>-999</v>
      </c>
      <c r="AC47">
        <v>-999</v>
      </c>
    </row>
    <row r="48" spans="1:29" x14ac:dyDescent="0.2">
      <c r="A48" t="s">
        <v>23</v>
      </c>
      <c r="B48">
        <v>75</v>
      </c>
      <c r="C48">
        <v>190</v>
      </c>
      <c r="D48">
        <v>1</v>
      </c>
      <c r="E48">
        <v>67</v>
      </c>
      <c r="F48">
        <v>0</v>
      </c>
      <c r="G48">
        <v>0</v>
      </c>
      <c r="H48">
        <v>1</v>
      </c>
      <c r="I48">
        <v>4.9249999999999998</v>
      </c>
      <c r="J48">
        <v>88</v>
      </c>
      <c r="K48">
        <v>0</v>
      </c>
      <c r="L48">
        <v>0</v>
      </c>
      <c r="M48">
        <v>6.4249999999999998</v>
      </c>
      <c r="N48">
        <v>84</v>
      </c>
      <c r="O48">
        <v>0</v>
      </c>
      <c r="P48">
        <v>0</v>
      </c>
      <c r="Q48">
        <v>5.8</v>
      </c>
      <c r="R48">
        <v>21</v>
      </c>
      <c r="S48">
        <v>0</v>
      </c>
      <c r="T48">
        <v>0</v>
      </c>
      <c r="U48">
        <v>1.5</v>
      </c>
      <c r="V48">
        <v>-4</v>
      </c>
      <c r="W48">
        <v>0</v>
      </c>
      <c r="X48">
        <v>0</v>
      </c>
      <c r="Y48">
        <v>-0.625</v>
      </c>
      <c r="Z48">
        <v>17</v>
      </c>
      <c r="AA48">
        <v>0</v>
      </c>
      <c r="AB48">
        <v>0</v>
      </c>
      <c r="AC48">
        <v>0.875</v>
      </c>
    </row>
    <row r="49" spans="1:29" x14ac:dyDescent="0.2">
      <c r="A49" t="s">
        <v>22</v>
      </c>
      <c r="B49">
        <v>75</v>
      </c>
      <c r="C49">
        <v>190</v>
      </c>
      <c r="D49">
        <v>1</v>
      </c>
      <c r="E49">
        <v>78</v>
      </c>
      <c r="F49">
        <v>0</v>
      </c>
      <c r="G49">
        <v>0</v>
      </c>
      <c r="H49">
        <v>1</v>
      </c>
      <c r="I49">
        <v>4.8000000000000007</v>
      </c>
      <c r="J49">
        <v>96</v>
      </c>
      <c r="K49">
        <v>0</v>
      </c>
      <c r="L49">
        <v>0</v>
      </c>
      <c r="M49">
        <v>5.7</v>
      </c>
      <c r="N49">
        <v>97</v>
      </c>
      <c r="O49">
        <v>0</v>
      </c>
      <c r="P49">
        <v>0</v>
      </c>
      <c r="Q49">
        <v>6.2750000000000004</v>
      </c>
      <c r="R49">
        <v>18</v>
      </c>
      <c r="S49">
        <v>0</v>
      </c>
      <c r="T49">
        <v>0</v>
      </c>
      <c r="U49">
        <v>0.89999999999999947</v>
      </c>
      <c r="V49">
        <v>1</v>
      </c>
      <c r="W49">
        <v>0</v>
      </c>
      <c r="X49">
        <v>0</v>
      </c>
      <c r="Y49">
        <v>0.57500000000000018</v>
      </c>
      <c r="Z49">
        <v>19</v>
      </c>
      <c r="AA49">
        <v>0</v>
      </c>
      <c r="AB49">
        <v>0</v>
      </c>
      <c r="AC49">
        <v>1.4749999999999996</v>
      </c>
    </row>
    <row r="50" spans="1:29" x14ac:dyDescent="0.2">
      <c r="A50" t="s">
        <v>21</v>
      </c>
      <c r="B50">
        <v>76</v>
      </c>
      <c r="C50">
        <v>190</v>
      </c>
      <c r="D50">
        <v>1</v>
      </c>
      <c r="E50">
        <v>-999</v>
      </c>
      <c r="F50">
        <v>-999</v>
      </c>
      <c r="G50">
        <v>-999</v>
      </c>
      <c r="H50">
        <v>-999</v>
      </c>
      <c r="I50">
        <v>-999</v>
      </c>
      <c r="J50">
        <v>85</v>
      </c>
      <c r="K50">
        <v>0</v>
      </c>
      <c r="L50">
        <v>0</v>
      </c>
      <c r="M50">
        <v>4.5750000000000002</v>
      </c>
      <c r="N50">
        <v>84</v>
      </c>
      <c r="O50">
        <v>0</v>
      </c>
      <c r="P50">
        <v>0</v>
      </c>
      <c r="Q50">
        <v>3.75</v>
      </c>
      <c r="R50">
        <v>-999</v>
      </c>
      <c r="S50">
        <v>-999</v>
      </c>
      <c r="T50">
        <v>-999</v>
      </c>
      <c r="U50">
        <v>-999</v>
      </c>
      <c r="V50">
        <v>-1</v>
      </c>
      <c r="W50">
        <v>0</v>
      </c>
      <c r="X50">
        <v>0</v>
      </c>
      <c r="Y50">
        <v>-0.82500000000000018</v>
      </c>
      <c r="Z50">
        <v>-999</v>
      </c>
      <c r="AA50">
        <v>-999</v>
      </c>
      <c r="AB50">
        <v>-999</v>
      </c>
      <c r="AC50">
        <v>-999</v>
      </c>
    </row>
    <row r="51" spans="1:29" x14ac:dyDescent="0.2">
      <c r="A51" t="s">
        <v>20</v>
      </c>
      <c r="B51">
        <v>76</v>
      </c>
      <c r="C51">
        <v>190</v>
      </c>
      <c r="D51">
        <v>1</v>
      </c>
      <c r="E51">
        <v>-999</v>
      </c>
      <c r="F51">
        <v>-999</v>
      </c>
      <c r="G51">
        <v>-999</v>
      </c>
      <c r="H51">
        <v>-999</v>
      </c>
      <c r="I51">
        <v>-999</v>
      </c>
      <c r="J51">
        <v>88</v>
      </c>
      <c r="K51">
        <v>0</v>
      </c>
      <c r="L51">
        <v>1</v>
      </c>
      <c r="M51">
        <v>4.4000000000000004</v>
      </c>
      <c r="N51">
        <v>83</v>
      </c>
      <c r="O51">
        <v>0</v>
      </c>
      <c r="P51">
        <v>1</v>
      </c>
      <c r="Q51">
        <v>5.45</v>
      </c>
      <c r="R51">
        <v>-999</v>
      </c>
      <c r="S51">
        <v>-999</v>
      </c>
      <c r="T51">
        <v>-999</v>
      </c>
      <c r="U51">
        <v>-999</v>
      </c>
      <c r="V51">
        <v>-5</v>
      </c>
      <c r="W51">
        <v>0</v>
      </c>
      <c r="X51">
        <v>0</v>
      </c>
      <c r="Y51">
        <v>1.0499999999999998</v>
      </c>
      <c r="Z51">
        <v>-999</v>
      </c>
      <c r="AA51">
        <v>-999</v>
      </c>
      <c r="AB51">
        <v>-999</v>
      </c>
      <c r="AC51">
        <v>-999</v>
      </c>
    </row>
    <row r="52" spans="1:29" x14ac:dyDescent="0.2">
      <c r="A52" t="s">
        <v>19</v>
      </c>
      <c r="B52">
        <v>68</v>
      </c>
      <c r="C52">
        <v>154</v>
      </c>
      <c r="D52">
        <v>1</v>
      </c>
      <c r="E52">
        <v>98</v>
      </c>
      <c r="F52">
        <v>0</v>
      </c>
      <c r="G52">
        <v>0</v>
      </c>
      <c r="H52">
        <v>0</v>
      </c>
      <c r="I52">
        <v>3.8999999999999995</v>
      </c>
      <c r="J52">
        <v>100</v>
      </c>
      <c r="K52">
        <v>0</v>
      </c>
      <c r="L52">
        <v>0</v>
      </c>
      <c r="M52">
        <v>4.4000000000000004</v>
      </c>
      <c r="N52">
        <v>100</v>
      </c>
      <c r="O52">
        <v>0</v>
      </c>
      <c r="P52">
        <v>0</v>
      </c>
      <c r="Q52">
        <v>4.25</v>
      </c>
      <c r="R52">
        <v>2</v>
      </c>
      <c r="S52">
        <v>0</v>
      </c>
      <c r="T52">
        <v>0</v>
      </c>
      <c r="U52">
        <v>0.50000000000000089</v>
      </c>
      <c r="V52">
        <v>0</v>
      </c>
      <c r="W52">
        <v>0</v>
      </c>
      <c r="X52">
        <v>0</v>
      </c>
      <c r="Y52">
        <v>-0.15000000000000036</v>
      </c>
      <c r="Z52">
        <v>2</v>
      </c>
      <c r="AA52">
        <v>0</v>
      </c>
      <c r="AB52">
        <v>0</v>
      </c>
      <c r="AC52">
        <v>0.35000000000000053</v>
      </c>
    </row>
    <row r="53" spans="1:29" x14ac:dyDescent="0.2">
      <c r="A53" t="s">
        <v>18</v>
      </c>
      <c r="B53">
        <v>68</v>
      </c>
      <c r="C53">
        <v>154</v>
      </c>
      <c r="D53">
        <v>1</v>
      </c>
      <c r="E53">
        <v>98</v>
      </c>
      <c r="F53">
        <v>0</v>
      </c>
      <c r="G53">
        <v>0</v>
      </c>
      <c r="H53">
        <v>0</v>
      </c>
      <c r="I53">
        <v>3.2750000000000004</v>
      </c>
      <c r="J53">
        <v>100</v>
      </c>
      <c r="K53">
        <v>0</v>
      </c>
      <c r="L53">
        <v>0</v>
      </c>
      <c r="M53">
        <v>3.9749999999999996</v>
      </c>
      <c r="N53">
        <v>100</v>
      </c>
      <c r="O53">
        <v>0</v>
      </c>
      <c r="P53">
        <v>0</v>
      </c>
      <c r="Q53">
        <v>3.9250000000000003</v>
      </c>
      <c r="R53">
        <v>2</v>
      </c>
      <c r="S53">
        <v>0</v>
      </c>
      <c r="T53">
        <v>0</v>
      </c>
      <c r="U53">
        <v>0.69999999999999929</v>
      </c>
      <c r="V53">
        <v>0</v>
      </c>
      <c r="W53">
        <v>0</v>
      </c>
      <c r="X53">
        <v>0</v>
      </c>
      <c r="Y53">
        <v>-4.9999999999999378E-2</v>
      </c>
      <c r="Z53">
        <v>2</v>
      </c>
      <c r="AA53">
        <v>0</v>
      </c>
      <c r="AB53">
        <v>0</v>
      </c>
      <c r="AC53">
        <v>0.64999999999999991</v>
      </c>
    </row>
    <row r="54" spans="1:29" x14ac:dyDescent="0.2">
      <c r="A54" t="s">
        <v>17</v>
      </c>
      <c r="B54">
        <v>82</v>
      </c>
      <c r="C54">
        <v>222</v>
      </c>
      <c r="D54">
        <v>2</v>
      </c>
      <c r="E54">
        <v>100</v>
      </c>
      <c r="F54">
        <v>0</v>
      </c>
      <c r="G54">
        <v>0</v>
      </c>
      <c r="H54">
        <v>0</v>
      </c>
      <c r="I54">
        <v>3.9249999999999998</v>
      </c>
      <c r="J54">
        <v>100</v>
      </c>
      <c r="K54">
        <v>0</v>
      </c>
      <c r="L54">
        <v>0</v>
      </c>
      <c r="M54">
        <v>4.2</v>
      </c>
      <c r="N54">
        <v>99</v>
      </c>
      <c r="O54">
        <v>0</v>
      </c>
      <c r="P54">
        <v>0</v>
      </c>
      <c r="Q54">
        <v>4.2750000000000004</v>
      </c>
      <c r="R54">
        <v>0</v>
      </c>
      <c r="S54">
        <v>0</v>
      </c>
      <c r="T54">
        <v>0</v>
      </c>
      <c r="U54">
        <v>0.27500000000000036</v>
      </c>
      <c r="V54">
        <v>-1</v>
      </c>
      <c r="W54">
        <v>0</v>
      </c>
      <c r="X54">
        <v>0</v>
      </c>
      <c r="Y54">
        <v>7.5000000000000178E-2</v>
      </c>
      <c r="Z54">
        <v>-1</v>
      </c>
      <c r="AA54">
        <v>0</v>
      </c>
      <c r="AB54">
        <v>0</v>
      </c>
      <c r="AC54">
        <v>0.35000000000000053</v>
      </c>
    </row>
    <row r="55" spans="1:29" x14ac:dyDescent="0.2">
      <c r="A55" t="s">
        <v>16</v>
      </c>
      <c r="B55">
        <v>82</v>
      </c>
      <c r="C55">
        <v>222</v>
      </c>
      <c r="D55">
        <v>2</v>
      </c>
      <c r="E55">
        <v>100</v>
      </c>
      <c r="F55">
        <v>0</v>
      </c>
      <c r="G55">
        <v>0</v>
      </c>
      <c r="H55">
        <v>0</v>
      </c>
      <c r="I55">
        <v>4.45</v>
      </c>
      <c r="J55">
        <v>100</v>
      </c>
      <c r="K55">
        <v>0</v>
      </c>
      <c r="L55">
        <v>0</v>
      </c>
      <c r="M55">
        <v>4.5250000000000004</v>
      </c>
      <c r="N55">
        <v>99</v>
      </c>
      <c r="O55">
        <v>0</v>
      </c>
      <c r="P55">
        <v>0</v>
      </c>
      <c r="Q55">
        <v>3.7250000000000001</v>
      </c>
      <c r="R55">
        <v>0</v>
      </c>
      <c r="S55">
        <v>0</v>
      </c>
      <c r="T55">
        <v>0</v>
      </c>
      <c r="U55">
        <v>7.5000000000000178E-2</v>
      </c>
      <c r="V55">
        <v>-1</v>
      </c>
      <c r="W55">
        <v>0</v>
      </c>
      <c r="X55">
        <v>0</v>
      </c>
      <c r="Y55">
        <v>-0.80000000000000027</v>
      </c>
      <c r="Z55">
        <v>-1</v>
      </c>
      <c r="AA55">
        <v>0</v>
      </c>
      <c r="AB55">
        <v>0</v>
      </c>
      <c r="AC55">
        <v>-0.72500000000000009</v>
      </c>
    </row>
    <row r="56" spans="1:29" x14ac:dyDescent="0.2">
      <c r="A56" t="s">
        <v>14</v>
      </c>
      <c r="B56">
        <v>70</v>
      </c>
      <c r="C56">
        <v>170</v>
      </c>
      <c r="D56">
        <v>1</v>
      </c>
      <c r="E56">
        <v>100</v>
      </c>
      <c r="F56">
        <v>0</v>
      </c>
      <c r="G56">
        <v>0</v>
      </c>
      <c r="H56">
        <v>0</v>
      </c>
      <c r="I56">
        <v>3.5999999999999996</v>
      </c>
      <c r="J56">
        <v>76</v>
      </c>
      <c r="K56">
        <v>1</v>
      </c>
      <c r="L56">
        <v>0</v>
      </c>
      <c r="M56">
        <v>3.8249999999999997</v>
      </c>
      <c r="N56">
        <v>100</v>
      </c>
      <c r="O56">
        <v>0</v>
      </c>
      <c r="P56">
        <v>0</v>
      </c>
      <c r="Q56">
        <v>3.4250000000000003</v>
      </c>
      <c r="R56">
        <v>-24</v>
      </c>
      <c r="S56">
        <v>1</v>
      </c>
      <c r="T56">
        <v>0</v>
      </c>
      <c r="U56">
        <v>0.22500000000000009</v>
      </c>
      <c r="V56">
        <v>24</v>
      </c>
      <c r="W56">
        <v>-1</v>
      </c>
      <c r="X56">
        <v>0</v>
      </c>
      <c r="Y56">
        <v>-0.39999999999999947</v>
      </c>
      <c r="Z56">
        <v>0</v>
      </c>
      <c r="AA56">
        <v>0</v>
      </c>
      <c r="AB56">
        <v>0</v>
      </c>
      <c r="AC56">
        <v>-0.17499999999999938</v>
      </c>
    </row>
    <row r="57" spans="1:29" x14ac:dyDescent="0.2">
      <c r="A57" t="s">
        <v>13</v>
      </c>
      <c r="B57">
        <v>70</v>
      </c>
      <c r="C57">
        <v>170</v>
      </c>
      <c r="D57">
        <v>1</v>
      </c>
      <c r="E57">
        <v>100</v>
      </c>
      <c r="F57">
        <v>0</v>
      </c>
      <c r="G57">
        <v>0</v>
      </c>
      <c r="H57">
        <v>0</v>
      </c>
      <c r="I57">
        <v>3.6749999999999998</v>
      </c>
      <c r="J57">
        <v>85</v>
      </c>
      <c r="K57">
        <v>1</v>
      </c>
      <c r="L57">
        <v>0</v>
      </c>
      <c r="M57">
        <v>4.375</v>
      </c>
      <c r="N57">
        <v>99</v>
      </c>
      <c r="O57">
        <v>0</v>
      </c>
      <c r="P57">
        <v>0</v>
      </c>
      <c r="Q57">
        <v>4.6500000000000004</v>
      </c>
      <c r="R57">
        <v>-15</v>
      </c>
      <c r="S57">
        <v>1</v>
      </c>
      <c r="T57">
        <v>0</v>
      </c>
      <c r="U57">
        <v>0.70000000000000018</v>
      </c>
      <c r="V57">
        <v>14</v>
      </c>
      <c r="W57">
        <v>-1</v>
      </c>
      <c r="X57">
        <v>0</v>
      </c>
      <c r="Y57">
        <v>0.27500000000000036</v>
      </c>
      <c r="Z57">
        <v>-1</v>
      </c>
      <c r="AA57">
        <v>0</v>
      </c>
      <c r="AB57">
        <v>0</v>
      </c>
      <c r="AC57">
        <v>0.97500000000000053</v>
      </c>
    </row>
    <row r="58" spans="1:29" x14ac:dyDescent="0.2">
      <c r="A58" t="s">
        <v>11</v>
      </c>
      <c r="B58">
        <v>80</v>
      </c>
      <c r="C58">
        <v>215</v>
      </c>
      <c r="D58">
        <v>2</v>
      </c>
      <c r="E58">
        <v>75</v>
      </c>
      <c r="F58">
        <v>0</v>
      </c>
      <c r="G58">
        <v>0</v>
      </c>
      <c r="H58">
        <v>1</v>
      </c>
      <c r="I58">
        <v>5.9499999999999993</v>
      </c>
      <c r="J58">
        <v>62</v>
      </c>
      <c r="K58">
        <v>1</v>
      </c>
      <c r="L58">
        <v>0</v>
      </c>
      <c r="M58">
        <v>7.0250000000000004</v>
      </c>
      <c r="N58">
        <v>72</v>
      </c>
      <c r="O58">
        <v>0</v>
      </c>
      <c r="P58">
        <v>0</v>
      </c>
      <c r="Q58">
        <v>7.1750000000000007</v>
      </c>
      <c r="R58">
        <v>-13</v>
      </c>
      <c r="S58">
        <v>1</v>
      </c>
      <c r="T58">
        <v>0</v>
      </c>
      <c r="U58">
        <v>1.0750000000000011</v>
      </c>
      <c r="V58">
        <v>10</v>
      </c>
      <c r="W58">
        <v>-1</v>
      </c>
      <c r="X58">
        <v>0</v>
      </c>
      <c r="Y58">
        <v>0.15000000000000036</v>
      </c>
      <c r="Z58">
        <v>-3</v>
      </c>
      <c r="AA58">
        <v>0</v>
      </c>
      <c r="AB58">
        <v>0</v>
      </c>
      <c r="AC58">
        <v>1.2250000000000014</v>
      </c>
    </row>
    <row r="59" spans="1:29" x14ac:dyDescent="0.2">
      <c r="A59" t="s">
        <v>10</v>
      </c>
      <c r="B59">
        <v>80</v>
      </c>
      <c r="C59">
        <v>215</v>
      </c>
      <c r="D59">
        <v>2</v>
      </c>
      <c r="E59">
        <v>73</v>
      </c>
      <c r="F59">
        <v>1</v>
      </c>
      <c r="G59">
        <v>0</v>
      </c>
      <c r="H59">
        <v>1</v>
      </c>
      <c r="I59">
        <v>5.75</v>
      </c>
      <c r="J59">
        <v>62</v>
      </c>
      <c r="K59">
        <v>1</v>
      </c>
      <c r="L59">
        <v>0</v>
      </c>
      <c r="M59">
        <v>7.6999999999999993</v>
      </c>
      <c r="N59">
        <v>72</v>
      </c>
      <c r="O59">
        <v>1</v>
      </c>
      <c r="P59">
        <v>0</v>
      </c>
      <c r="Q59">
        <v>7.5500000000000007</v>
      </c>
      <c r="R59">
        <v>-11</v>
      </c>
      <c r="S59">
        <v>0</v>
      </c>
      <c r="T59">
        <v>0</v>
      </c>
      <c r="U59">
        <v>1.9499999999999993</v>
      </c>
      <c r="V59">
        <v>10</v>
      </c>
      <c r="W59">
        <v>0</v>
      </c>
      <c r="X59">
        <v>0</v>
      </c>
      <c r="Y59">
        <v>-0.14999999999999858</v>
      </c>
      <c r="Z59">
        <v>-1</v>
      </c>
      <c r="AA59">
        <v>0</v>
      </c>
      <c r="AB59">
        <v>0</v>
      </c>
      <c r="AC59">
        <v>1.8000000000000007</v>
      </c>
    </row>
    <row r="60" spans="1:29" x14ac:dyDescent="0.2">
      <c r="A60" t="s">
        <v>9</v>
      </c>
      <c r="B60">
        <v>76</v>
      </c>
      <c r="C60">
        <v>195</v>
      </c>
      <c r="D60">
        <v>1</v>
      </c>
      <c r="E60">
        <v>67</v>
      </c>
      <c r="F60">
        <v>0</v>
      </c>
      <c r="G60">
        <v>0</v>
      </c>
      <c r="H60">
        <v>1</v>
      </c>
      <c r="I60">
        <v>4.2250000000000005</v>
      </c>
      <c r="J60">
        <v>91</v>
      </c>
      <c r="K60">
        <v>0</v>
      </c>
      <c r="L60">
        <v>0</v>
      </c>
      <c r="M60">
        <v>6.5250000000000004</v>
      </c>
      <c r="N60">
        <v>90</v>
      </c>
      <c r="O60">
        <v>0</v>
      </c>
      <c r="P60">
        <v>0</v>
      </c>
      <c r="Q60">
        <v>6.2750000000000004</v>
      </c>
      <c r="R60">
        <v>24</v>
      </c>
      <c r="S60">
        <v>0</v>
      </c>
      <c r="T60">
        <v>0</v>
      </c>
      <c r="U60">
        <v>2.2999999999999998</v>
      </c>
      <c r="V60">
        <v>-1</v>
      </c>
      <c r="W60">
        <v>0</v>
      </c>
      <c r="X60">
        <v>0</v>
      </c>
      <c r="Y60">
        <v>-0.25</v>
      </c>
      <c r="Z60">
        <v>23</v>
      </c>
      <c r="AA60">
        <v>0</v>
      </c>
      <c r="AB60">
        <v>0</v>
      </c>
      <c r="AC60">
        <v>2.0499999999999998</v>
      </c>
    </row>
    <row r="61" spans="1:29" x14ac:dyDescent="0.2">
      <c r="A61" t="s">
        <v>8</v>
      </c>
      <c r="B61">
        <v>76</v>
      </c>
      <c r="C61">
        <v>195</v>
      </c>
      <c r="D61">
        <v>1</v>
      </c>
      <c r="E61">
        <v>67</v>
      </c>
      <c r="F61">
        <v>0</v>
      </c>
      <c r="G61">
        <v>0</v>
      </c>
      <c r="H61">
        <v>1</v>
      </c>
      <c r="I61">
        <v>7.3250000000000002</v>
      </c>
      <c r="J61">
        <v>85</v>
      </c>
      <c r="K61">
        <v>0</v>
      </c>
      <c r="L61">
        <v>0</v>
      </c>
      <c r="M61">
        <v>7.3250000000000002</v>
      </c>
      <c r="N61">
        <v>78</v>
      </c>
      <c r="O61">
        <v>0</v>
      </c>
      <c r="P61">
        <v>1</v>
      </c>
      <c r="Q61">
        <v>9.6000000000000014</v>
      </c>
      <c r="R61">
        <v>18</v>
      </c>
      <c r="S61">
        <v>0</v>
      </c>
      <c r="T61">
        <v>0</v>
      </c>
      <c r="U61">
        <v>0</v>
      </c>
      <c r="V61">
        <v>-7</v>
      </c>
      <c r="W61">
        <v>0</v>
      </c>
      <c r="X61">
        <v>1</v>
      </c>
      <c r="Y61">
        <v>2.2750000000000012</v>
      </c>
      <c r="Z61">
        <v>11</v>
      </c>
      <c r="AA61">
        <v>0</v>
      </c>
      <c r="AB61">
        <v>1</v>
      </c>
      <c r="AC61">
        <v>2.2750000000000012</v>
      </c>
    </row>
    <row r="62" spans="1:29" x14ac:dyDescent="0.2">
      <c r="A62" t="s">
        <v>7</v>
      </c>
      <c r="B62">
        <v>80</v>
      </c>
      <c r="C62">
        <v>240</v>
      </c>
      <c r="D62">
        <v>2</v>
      </c>
      <c r="E62">
        <v>100</v>
      </c>
      <c r="F62">
        <v>0</v>
      </c>
      <c r="G62">
        <v>0</v>
      </c>
      <c r="H62">
        <v>0</v>
      </c>
      <c r="I62">
        <v>4.1499999999999995</v>
      </c>
      <c r="J62">
        <v>86</v>
      </c>
      <c r="K62">
        <v>0</v>
      </c>
      <c r="L62">
        <v>0</v>
      </c>
      <c r="M62">
        <v>3.55</v>
      </c>
      <c r="N62">
        <v>93</v>
      </c>
      <c r="O62">
        <v>0</v>
      </c>
      <c r="P62">
        <v>0</v>
      </c>
      <c r="Q62">
        <v>4.0999999999999996</v>
      </c>
      <c r="R62">
        <v>-14</v>
      </c>
      <c r="S62">
        <v>0</v>
      </c>
      <c r="T62">
        <v>0</v>
      </c>
      <c r="U62">
        <v>-0.59999999999999964</v>
      </c>
      <c r="V62">
        <v>7</v>
      </c>
      <c r="W62">
        <v>0</v>
      </c>
      <c r="X62">
        <v>0</v>
      </c>
      <c r="Y62">
        <v>0.54999999999999982</v>
      </c>
      <c r="Z62">
        <v>-7</v>
      </c>
      <c r="AA62">
        <v>0</v>
      </c>
      <c r="AB62">
        <v>0</v>
      </c>
      <c r="AC62">
        <v>-4.9999999999999822E-2</v>
      </c>
    </row>
    <row r="63" spans="1:29" x14ac:dyDescent="0.2">
      <c r="A63" t="s">
        <v>6</v>
      </c>
      <c r="B63">
        <v>80</v>
      </c>
      <c r="C63">
        <v>240</v>
      </c>
      <c r="D63">
        <v>2</v>
      </c>
      <c r="E63">
        <v>88</v>
      </c>
      <c r="F63">
        <v>0</v>
      </c>
      <c r="G63">
        <v>0</v>
      </c>
      <c r="H63">
        <v>0</v>
      </c>
      <c r="I63">
        <v>3.5249999999999999</v>
      </c>
      <c r="J63">
        <v>88</v>
      </c>
      <c r="K63">
        <v>0</v>
      </c>
      <c r="L63">
        <v>0</v>
      </c>
      <c r="M63">
        <v>3.5750000000000002</v>
      </c>
      <c r="N63">
        <v>97</v>
      </c>
      <c r="O63">
        <v>0</v>
      </c>
      <c r="P63">
        <v>0</v>
      </c>
      <c r="Q63">
        <v>3.2250000000000001</v>
      </c>
      <c r="R63">
        <v>0</v>
      </c>
      <c r="S63">
        <v>0</v>
      </c>
      <c r="T63">
        <v>0</v>
      </c>
      <c r="U63">
        <v>5.0000000000000266E-2</v>
      </c>
      <c r="V63">
        <v>9</v>
      </c>
      <c r="W63">
        <v>0</v>
      </c>
      <c r="X63">
        <v>0</v>
      </c>
      <c r="Y63">
        <v>-0.35000000000000009</v>
      </c>
      <c r="Z63">
        <v>9</v>
      </c>
      <c r="AA63">
        <v>0</v>
      </c>
      <c r="AB63">
        <v>0</v>
      </c>
      <c r="AC63">
        <v>-0.29999999999999982</v>
      </c>
    </row>
    <row r="64" spans="1:29" x14ac:dyDescent="0.2">
      <c r="A64" t="s">
        <v>4</v>
      </c>
      <c r="B64">
        <v>73</v>
      </c>
      <c r="C64">
        <v>190</v>
      </c>
      <c r="D64">
        <v>1</v>
      </c>
      <c r="E64">
        <v>95</v>
      </c>
      <c r="F64">
        <v>0</v>
      </c>
      <c r="G64">
        <v>0</v>
      </c>
      <c r="H64">
        <v>0</v>
      </c>
      <c r="I64">
        <v>5.0250000000000004</v>
      </c>
      <c r="J64">
        <v>75</v>
      </c>
      <c r="K64">
        <v>0</v>
      </c>
      <c r="L64">
        <v>0</v>
      </c>
      <c r="M64">
        <v>7.55</v>
      </c>
      <c r="N64">
        <v>79</v>
      </c>
      <c r="O64">
        <v>0</v>
      </c>
      <c r="P64">
        <v>0</v>
      </c>
      <c r="Q64">
        <v>6.3</v>
      </c>
      <c r="R64">
        <v>-20</v>
      </c>
      <c r="S64">
        <v>0</v>
      </c>
      <c r="T64">
        <v>0</v>
      </c>
      <c r="U64">
        <v>2.5249999999999995</v>
      </c>
      <c r="V64">
        <v>4</v>
      </c>
      <c r="W64">
        <v>0</v>
      </c>
      <c r="X64">
        <v>0</v>
      </c>
      <c r="Y64">
        <v>-1.25</v>
      </c>
      <c r="Z64">
        <v>-16</v>
      </c>
      <c r="AA64">
        <v>0</v>
      </c>
      <c r="AB64">
        <v>0</v>
      </c>
      <c r="AC64">
        <v>1.2749999999999995</v>
      </c>
    </row>
    <row r="65" spans="1:29" x14ac:dyDescent="0.2">
      <c r="A65" t="s">
        <v>3</v>
      </c>
      <c r="B65">
        <v>73</v>
      </c>
      <c r="C65">
        <v>190</v>
      </c>
      <c r="D65">
        <v>1</v>
      </c>
      <c r="E65">
        <v>95</v>
      </c>
      <c r="F65">
        <v>0</v>
      </c>
      <c r="G65">
        <v>0</v>
      </c>
      <c r="H65">
        <v>0</v>
      </c>
      <c r="I65">
        <v>4.5</v>
      </c>
      <c r="J65">
        <v>78</v>
      </c>
      <c r="K65">
        <v>0</v>
      </c>
      <c r="L65">
        <v>0</v>
      </c>
      <c r="M65">
        <v>5.75</v>
      </c>
      <c r="N65">
        <v>43</v>
      </c>
      <c r="O65">
        <v>0</v>
      </c>
      <c r="P65">
        <v>0</v>
      </c>
      <c r="Q65">
        <v>6.2</v>
      </c>
      <c r="R65">
        <v>-17</v>
      </c>
      <c r="S65">
        <v>0</v>
      </c>
      <c r="T65">
        <v>0</v>
      </c>
      <c r="U65">
        <v>1.25</v>
      </c>
      <c r="V65">
        <v>-35</v>
      </c>
      <c r="W65">
        <v>0</v>
      </c>
      <c r="X65">
        <v>0</v>
      </c>
      <c r="Y65">
        <v>0.45000000000000018</v>
      </c>
      <c r="Z65">
        <v>-52</v>
      </c>
      <c r="AA65">
        <v>0</v>
      </c>
      <c r="AB65">
        <v>0</v>
      </c>
      <c r="AC65">
        <v>1.7000000000000002</v>
      </c>
    </row>
    <row r="66" spans="1:29" x14ac:dyDescent="0.2">
      <c r="A66" t="s">
        <v>2</v>
      </c>
      <c r="B66">
        <v>75</v>
      </c>
      <c r="C66">
        <v>180</v>
      </c>
      <c r="D66">
        <v>1</v>
      </c>
      <c r="E66">
        <v>-999</v>
      </c>
      <c r="F66">
        <v>-999</v>
      </c>
      <c r="G66">
        <v>-999</v>
      </c>
      <c r="H66">
        <v>-999</v>
      </c>
      <c r="I66">
        <v>-999</v>
      </c>
      <c r="J66">
        <v>78</v>
      </c>
      <c r="K66">
        <v>0</v>
      </c>
      <c r="L66">
        <v>0</v>
      </c>
      <c r="M66">
        <v>3.8250000000000002</v>
      </c>
      <c r="N66">
        <v>94</v>
      </c>
      <c r="O66">
        <v>0</v>
      </c>
      <c r="P66">
        <v>0</v>
      </c>
      <c r="Q66">
        <v>3.5249999999999999</v>
      </c>
      <c r="R66">
        <v>-999</v>
      </c>
      <c r="S66">
        <v>-999</v>
      </c>
      <c r="T66">
        <v>-999</v>
      </c>
      <c r="U66">
        <v>-999</v>
      </c>
      <c r="V66">
        <v>16</v>
      </c>
      <c r="W66">
        <v>0</v>
      </c>
      <c r="X66">
        <v>0</v>
      </c>
      <c r="Y66">
        <v>-0.30000000000000027</v>
      </c>
      <c r="Z66">
        <v>-999</v>
      </c>
      <c r="AA66">
        <v>-999</v>
      </c>
      <c r="AB66">
        <v>-999</v>
      </c>
      <c r="AC66">
        <v>-999</v>
      </c>
    </row>
    <row r="67" spans="1:29" x14ac:dyDescent="0.2">
      <c r="A67" t="s">
        <v>1</v>
      </c>
      <c r="B67">
        <v>75</v>
      </c>
      <c r="C67">
        <v>180</v>
      </c>
      <c r="D67">
        <v>1</v>
      </c>
      <c r="E67">
        <v>-999</v>
      </c>
      <c r="F67">
        <v>-999</v>
      </c>
      <c r="G67">
        <v>-999</v>
      </c>
      <c r="H67">
        <v>-999</v>
      </c>
      <c r="I67">
        <v>-999</v>
      </c>
      <c r="J67">
        <v>75</v>
      </c>
      <c r="K67">
        <v>0</v>
      </c>
      <c r="L67">
        <v>0</v>
      </c>
      <c r="M67">
        <v>4.7249999999999996</v>
      </c>
      <c r="N67">
        <v>79</v>
      </c>
      <c r="O67">
        <v>1</v>
      </c>
      <c r="P67">
        <v>0</v>
      </c>
      <c r="Q67">
        <v>4.1750000000000007</v>
      </c>
      <c r="R67">
        <v>-999</v>
      </c>
      <c r="S67">
        <v>-999</v>
      </c>
      <c r="T67">
        <v>-999</v>
      </c>
      <c r="U67">
        <v>-999</v>
      </c>
      <c r="V67">
        <v>4</v>
      </c>
      <c r="W67">
        <v>1</v>
      </c>
      <c r="X67">
        <v>0</v>
      </c>
      <c r="Y67">
        <v>-0.54999999999999893</v>
      </c>
      <c r="Z67">
        <v>-999</v>
      </c>
      <c r="AA67">
        <v>-999</v>
      </c>
      <c r="AB67">
        <v>-999</v>
      </c>
      <c r="AC67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 data sheet</vt:lpstr>
      <vt:lpstr>selected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Desai, Sohil S</dc:creator>
  <cp:lastModifiedBy>Dambrosia, Christopher</cp:lastModifiedBy>
  <dcterms:created xsi:type="dcterms:W3CDTF">2022-05-11T22:20:15Z</dcterms:created>
  <dcterms:modified xsi:type="dcterms:W3CDTF">2025-11-28T01:11:01Z</dcterms:modified>
</cp:coreProperties>
</file>